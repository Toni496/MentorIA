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drawings/drawing3.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ReyesAnt1\Downloads\"/>
    </mc:Choice>
  </mc:AlternateContent>
  <xr:revisionPtr revIDLastSave="0" documentId="13_ncr:1_{A84D2B5E-BB9B-4629-A44E-EC6907E3C35F}" xr6:coauthVersionLast="47" xr6:coauthVersionMax="47" xr10:uidLastSave="{00000000-0000-0000-0000-000000000000}"/>
  <bookViews>
    <workbookView xWindow="-110" yWindow="-110" windowWidth="19420" windowHeight="10300" firstSheet="1" activeTab="2" xr2:uid="{00000000-000D-0000-FFFF-FFFF00000000}"/>
  </bookViews>
  <sheets>
    <sheet name="Gráfico1" sheetId="3" state="hidden" r:id="rId1"/>
    <sheet name="PRESUPUESTO PERSONAL Plantilla" sheetId="1" r:id="rId2"/>
    <sheet name="PRESUPUESTO PERSONAL (Ejemplo)" sheetId="5" r:id="rId3"/>
    <sheet name="Sheet2" sheetId="6" r:id="rId4"/>
    <sheet name="DEUDAS" sheetId="4" r:id="rId5"/>
  </sheets>
  <definedNames>
    <definedName name="LastCol" localSheetId="2">COUNTA('PRESUPUESTO PERSONAL (Ejemplo)'!$4:$4)+1</definedName>
    <definedName name="LastCol">COUNTA('PRESUPUESTO PERSONAL Plantilla'!$4:$4)+1</definedName>
    <definedName name="PrintArea_SET" localSheetId="2">OFFSET('PRESUPUESTO PERSONAL (Ejemplo)'!$C$2,,,MATCH(REPT("z",255),'PRESUPUESTO PERSONAL (Ejemplo)'!$C:$C),'PRESUPUESTO PERSONAL (Ejemplo)'!LastCol)</definedName>
    <definedName name="PrintArea_SET">OFFSET('PRESUPUESTO PERSONAL Plantilla'!$C$2,,,MATCH(REPT("z",255),'PRESUPUESTO PERSONAL Plantilla'!$C:$C),LastCol)</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96" i="5" l="1"/>
  <c r="P97" i="5" s="1"/>
  <c r="P92" i="5"/>
  <c r="P83" i="5"/>
  <c r="P84" i="5" s="1"/>
  <c r="P79" i="5"/>
  <c r="P80" i="5" s="1"/>
  <c r="P75" i="5"/>
  <c r="P76" i="5" s="1"/>
  <c r="P71" i="5"/>
  <c r="P72" i="5" s="1"/>
  <c r="P67" i="5"/>
  <c r="P49" i="5"/>
  <c r="P41" i="5"/>
  <c r="P9" i="5"/>
  <c r="P30" i="1"/>
  <c r="P96" i="1"/>
  <c r="P92" i="1"/>
  <c r="P83" i="1"/>
  <c r="P79" i="1"/>
  <c r="P75" i="1"/>
  <c r="P71" i="1"/>
  <c r="P67" i="1"/>
  <c r="P49" i="1"/>
  <c r="P9" i="1"/>
  <c r="P41" i="1"/>
  <c r="O97" i="5"/>
  <c r="N97" i="5"/>
  <c r="M97" i="5"/>
  <c r="L97" i="5"/>
  <c r="K97" i="5"/>
  <c r="J97" i="5"/>
  <c r="I97" i="5"/>
  <c r="H97" i="5"/>
  <c r="G97" i="5"/>
  <c r="F97" i="5"/>
  <c r="E97" i="5"/>
  <c r="D97" i="5"/>
  <c r="O93" i="5"/>
  <c r="N93" i="5"/>
  <c r="M93" i="5"/>
  <c r="L93" i="5"/>
  <c r="K93" i="5"/>
  <c r="J93" i="5"/>
  <c r="I93" i="5"/>
  <c r="H93" i="5"/>
  <c r="G93" i="5"/>
  <c r="F93" i="5"/>
  <c r="E93" i="5"/>
  <c r="D93" i="5"/>
  <c r="P91" i="5"/>
  <c r="P90" i="5"/>
  <c r="P89" i="5"/>
  <c r="P88" i="5"/>
  <c r="P87" i="5"/>
  <c r="O84" i="5"/>
  <c r="N84" i="5"/>
  <c r="M84" i="5"/>
  <c r="L84" i="5"/>
  <c r="K84" i="5"/>
  <c r="J84" i="5"/>
  <c r="I84" i="5"/>
  <c r="H84" i="5"/>
  <c r="G84" i="5"/>
  <c r="F84" i="5"/>
  <c r="E84" i="5"/>
  <c r="D84" i="5"/>
  <c r="O80" i="5"/>
  <c r="N80" i="5"/>
  <c r="M80" i="5"/>
  <c r="L80" i="5"/>
  <c r="K80" i="5"/>
  <c r="J80" i="5"/>
  <c r="I80" i="5"/>
  <c r="H80" i="5"/>
  <c r="G80" i="5"/>
  <c r="F80" i="5"/>
  <c r="E80" i="5"/>
  <c r="D80" i="5"/>
  <c r="O76" i="5"/>
  <c r="N76" i="5"/>
  <c r="M76" i="5"/>
  <c r="L76" i="5"/>
  <c r="K76" i="5"/>
  <c r="J76" i="5"/>
  <c r="I76" i="5"/>
  <c r="H76" i="5"/>
  <c r="G76" i="5"/>
  <c r="F76" i="5"/>
  <c r="E76" i="5"/>
  <c r="D76" i="5"/>
  <c r="O72" i="5"/>
  <c r="N72" i="5"/>
  <c r="M72" i="5"/>
  <c r="L72" i="5"/>
  <c r="K72" i="5"/>
  <c r="J72" i="5"/>
  <c r="I72" i="5"/>
  <c r="H72" i="5"/>
  <c r="G72" i="5"/>
  <c r="F72" i="5"/>
  <c r="E72" i="5"/>
  <c r="D72" i="5"/>
  <c r="O68" i="5"/>
  <c r="M68" i="5"/>
  <c r="L68" i="5"/>
  <c r="K68" i="5"/>
  <c r="I68" i="5"/>
  <c r="H68" i="5"/>
  <c r="G68" i="5"/>
  <c r="F68" i="5"/>
  <c r="E68" i="5"/>
  <c r="D68" i="5"/>
  <c r="P66" i="5"/>
  <c r="P65" i="5"/>
  <c r="P64" i="5"/>
  <c r="P63" i="5"/>
  <c r="P62" i="5"/>
  <c r="P61" i="5"/>
  <c r="P60" i="5"/>
  <c r="O57" i="5"/>
  <c r="N57" i="5"/>
  <c r="M57" i="5"/>
  <c r="L57" i="5"/>
  <c r="K57" i="5"/>
  <c r="J57" i="5"/>
  <c r="I57" i="5"/>
  <c r="H57" i="5"/>
  <c r="G57" i="5"/>
  <c r="F57" i="5"/>
  <c r="E57" i="5"/>
  <c r="D57" i="5"/>
  <c r="P56" i="5"/>
  <c r="P55" i="5"/>
  <c r="P54" i="5"/>
  <c r="P53" i="5"/>
  <c r="O50" i="5"/>
  <c r="N50" i="5"/>
  <c r="M50" i="5"/>
  <c r="L50" i="5"/>
  <c r="K50" i="5"/>
  <c r="J50" i="5"/>
  <c r="I50" i="5"/>
  <c r="H50" i="5"/>
  <c r="G50" i="5"/>
  <c r="F50" i="5"/>
  <c r="E50" i="5"/>
  <c r="D50" i="5"/>
  <c r="P48" i="5"/>
  <c r="P47" i="5"/>
  <c r="P46" i="5"/>
  <c r="P45" i="5"/>
  <c r="O42" i="5"/>
  <c r="N42" i="5"/>
  <c r="M42" i="5"/>
  <c r="L42" i="5"/>
  <c r="K42" i="5"/>
  <c r="J42" i="5"/>
  <c r="I42" i="5"/>
  <c r="H42" i="5"/>
  <c r="G42" i="5"/>
  <c r="F42" i="5"/>
  <c r="E42" i="5"/>
  <c r="D42" i="5"/>
  <c r="P40" i="5"/>
  <c r="P39" i="5"/>
  <c r="P38" i="5"/>
  <c r="P37" i="5"/>
  <c r="P36" i="5"/>
  <c r="P35" i="5"/>
  <c r="O32" i="5"/>
  <c r="N32" i="5"/>
  <c r="M32" i="5"/>
  <c r="L32" i="5"/>
  <c r="K32" i="5"/>
  <c r="J32" i="5"/>
  <c r="I32" i="5"/>
  <c r="H32" i="5"/>
  <c r="G32" i="5"/>
  <c r="F32" i="5"/>
  <c r="E32" i="5"/>
  <c r="D32" i="5"/>
  <c r="P31" i="5"/>
  <c r="P29" i="5"/>
  <c r="P28" i="5"/>
  <c r="P27" i="5"/>
  <c r="P26" i="5"/>
  <c r="P25" i="5"/>
  <c r="P24" i="5"/>
  <c r="P23" i="5"/>
  <c r="P22" i="5"/>
  <c r="P21" i="5"/>
  <c r="P20" i="5"/>
  <c r="P19" i="5"/>
  <c r="P18" i="5"/>
  <c r="P17" i="5"/>
  <c r="P16" i="5"/>
  <c r="P15" i="5"/>
  <c r="P14" i="5"/>
  <c r="O10" i="5"/>
  <c r="N10" i="5"/>
  <c r="M10" i="5"/>
  <c r="L10" i="5"/>
  <c r="K10" i="5"/>
  <c r="J10" i="5"/>
  <c r="I10" i="5"/>
  <c r="H10" i="5"/>
  <c r="G10" i="5"/>
  <c r="F10" i="5"/>
  <c r="E10" i="5"/>
  <c r="D10" i="5"/>
  <c r="P8" i="5"/>
  <c r="P7" i="5"/>
  <c r="P6" i="5"/>
  <c r="Q2" i="5"/>
  <c r="P21" i="1"/>
  <c r="P22" i="1"/>
  <c r="P23" i="1"/>
  <c r="P24" i="1"/>
  <c r="P25" i="1"/>
  <c r="P26" i="1"/>
  <c r="P27" i="1"/>
  <c r="P28" i="1"/>
  <c r="P29" i="1"/>
  <c r="B15" i="4"/>
  <c r="P15" i="1"/>
  <c r="P16" i="1"/>
  <c r="P17" i="1"/>
  <c r="P18" i="1"/>
  <c r="P19" i="1"/>
  <c r="P20" i="1"/>
  <c r="P50" i="5" l="1"/>
  <c r="P57" i="5"/>
  <c r="D100" i="5"/>
  <c r="D101" i="5" s="1"/>
  <c r="E100" i="5"/>
  <c r="E101" i="5" s="1"/>
  <c r="F100" i="5"/>
  <c r="F101" i="5" s="1"/>
  <c r="G100" i="5"/>
  <c r="G101" i="5" s="1"/>
  <c r="H100" i="5"/>
  <c r="H101" i="5" s="1"/>
  <c r="I100" i="5"/>
  <c r="I101" i="5" s="1"/>
  <c r="J100" i="5"/>
  <c r="J101" i="5" s="1"/>
  <c r="K100" i="5"/>
  <c r="K101" i="5" s="1"/>
  <c r="P42" i="5"/>
  <c r="P93" i="5"/>
  <c r="L100" i="5"/>
  <c r="L101" i="5" s="1"/>
  <c r="M100" i="5"/>
  <c r="M101" i="5" s="1"/>
  <c r="N100" i="5"/>
  <c r="N101" i="5" s="1"/>
  <c r="P32" i="5"/>
  <c r="P68" i="5"/>
  <c r="P10" i="5"/>
  <c r="O100" i="5"/>
  <c r="O101" i="5" s="1"/>
  <c r="P14" i="1"/>
  <c r="P31" i="1"/>
  <c r="P90" i="1"/>
  <c r="P91" i="1"/>
  <c r="P100" i="5" l="1"/>
  <c r="P101" i="5" s="1"/>
  <c r="P66" i="1"/>
  <c r="Q2" i="1" l="1"/>
  <c r="E97" i="1"/>
  <c r="F97" i="1"/>
  <c r="G97" i="1"/>
  <c r="H97" i="1"/>
  <c r="I97" i="1"/>
  <c r="J97" i="1"/>
  <c r="K97" i="1"/>
  <c r="L97" i="1"/>
  <c r="M97" i="1"/>
  <c r="N97" i="1"/>
  <c r="O97" i="1"/>
  <c r="D97" i="1"/>
  <c r="E93" i="1"/>
  <c r="F93" i="1"/>
  <c r="G93" i="1"/>
  <c r="H93" i="1"/>
  <c r="I93" i="1"/>
  <c r="J93" i="1"/>
  <c r="K93" i="1"/>
  <c r="L93" i="1"/>
  <c r="M93" i="1"/>
  <c r="N93" i="1"/>
  <c r="O93" i="1"/>
  <c r="D93" i="1"/>
  <c r="E84" i="1"/>
  <c r="F84" i="1"/>
  <c r="G84" i="1"/>
  <c r="H84" i="1"/>
  <c r="I84" i="1"/>
  <c r="J84" i="1"/>
  <c r="K84" i="1"/>
  <c r="L84" i="1"/>
  <c r="M84" i="1"/>
  <c r="N84" i="1"/>
  <c r="O84" i="1"/>
  <c r="D84" i="1"/>
  <c r="E80" i="1"/>
  <c r="F80" i="1"/>
  <c r="G80" i="1"/>
  <c r="H80" i="1"/>
  <c r="I80" i="1"/>
  <c r="J80" i="1"/>
  <c r="K80" i="1"/>
  <c r="L80" i="1"/>
  <c r="M80" i="1"/>
  <c r="N80" i="1"/>
  <c r="O80" i="1"/>
  <c r="D80" i="1"/>
  <c r="E76" i="1"/>
  <c r="F76" i="1"/>
  <c r="G76" i="1"/>
  <c r="H76" i="1"/>
  <c r="I76" i="1"/>
  <c r="J76" i="1"/>
  <c r="K76" i="1"/>
  <c r="L76" i="1"/>
  <c r="M76" i="1"/>
  <c r="N76" i="1"/>
  <c r="O76" i="1"/>
  <c r="D76" i="1"/>
  <c r="E72" i="1"/>
  <c r="F72" i="1"/>
  <c r="G72" i="1"/>
  <c r="H72" i="1"/>
  <c r="I72" i="1"/>
  <c r="J72" i="1"/>
  <c r="K72" i="1"/>
  <c r="L72" i="1"/>
  <c r="M72" i="1"/>
  <c r="N72" i="1"/>
  <c r="O72" i="1"/>
  <c r="D72" i="1"/>
  <c r="E68" i="1"/>
  <c r="F68" i="1"/>
  <c r="G68" i="1"/>
  <c r="H68" i="1"/>
  <c r="I68" i="1"/>
  <c r="J68" i="1"/>
  <c r="K68" i="1"/>
  <c r="L68" i="1"/>
  <c r="M68" i="1"/>
  <c r="N68" i="1"/>
  <c r="O68" i="1"/>
  <c r="D68" i="1"/>
  <c r="P87" i="1"/>
  <c r="P88" i="1"/>
  <c r="P89" i="1"/>
  <c r="P61" i="1"/>
  <c r="P62" i="1"/>
  <c r="P63" i="1"/>
  <c r="P64" i="1"/>
  <c r="P65" i="1"/>
  <c r="P60" i="1"/>
  <c r="E57" i="1"/>
  <c r="F57" i="1"/>
  <c r="G57" i="1"/>
  <c r="H57" i="1"/>
  <c r="I57" i="1"/>
  <c r="J57" i="1"/>
  <c r="K57" i="1"/>
  <c r="L57" i="1"/>
  <c r="M57" i="1"/>
  <c r="N57" i="1"/>
  <c r="O57" i="1"/>
  <c r="D57" i="1"/>
  <c r="P54" i="1"/>
  <c r="P55" i="1"/>
  <c r="P56" i="1"/>
  <c r="P53" i="1"/>
  <c r="E50" i="1"/>
  <c r="F50" i="1"/>
  <c r="G50" i="1"/>
  <c r="H50" i="1"/>
  <c r="I50" i="1"/>
  <c r="J50" i="1"/>
  <c r="K50" i="1"/>
  <c r="L50" i="1"/>
  <c r="M50" i="1"/>
  <c r="N50" i="1"/>
  <c r="O50" i="1"/>
  <c r="D50" i="1"/>
  <c r="P46" i="1"/>
  <c r="P47" i="1"/>
  <c r="P48" i="1"/>
  <c r="P45" i="1"/>
  <c r="E42" i="1"/>
  <c r="F42" i="1"/>
  <c r="G42" i="1"/>
  <c r="H42" i="1"/>
  <c r="I42" i="1"/>
  <c r="J42" i="1"/>
  <c r="K42" i="1"/>
  <c r="L42" i="1"/>
  <c r="M42" i="1"/>
  <c r="N42" i="1"/>
  <c r="O42" i="1"/>
  <c r="D42" i="1"/>
  <c r="P36" i="1"/>
  <c r="P37" i="1"/>
  <c r="P38" i="1"/>
  <c r="P39" i="1"/>
  <c r="P40" i="1"/>
  <c r="P35" i="1"/>
  <c r="E32" i="1"/>
  <c r="F32" i="1"/>
  <c r="G32" i="1"/>
  <c r="H32" i="1"/>
  <c r="I32" i="1"/>
  <c r="J32" i="1"/>
  <c r="K32" i="1"/>
  <c r="L32" i="1"/>
  <c r="M32" i="1"/>
  <c r="N32" i="1"/>
  <c r="O32" i="1"/>
  <c r="D32" i="1"/>
  <c r="O10" i="1"/>
  <c r="G10" i="1"/>
  <c r="L10" i="1"/>
  <c r="N10" i="1"/>
  <c r="F10" i="1"/>
  <c r="E10" i="1"/>
  <c r="I10" i="1"/>
  <c r="H10" i="1"/>
  <c r="D10" i="1"/>
  <c r="M10" i="1"/>
  <c r="K10" i="1"/>
  <c r="P8" i="1"/>
  <c r="P7" i="1"/>
  <c r="J10" i="1"/>
  <c r="P6" i="1"/>
  <c r="P84" i="1" l="1"/>
  <c r="L100" i="1"/>
  <c r="L101" i="1" s="1"/>
  <c r="M100" i="1"/>
  <c r="M101" i="1" s="1"/>
  <c r="P72" i="1"/>
  <c r="D100" i="1"/>
  <c r="D101" i="1" s="1"/>
  <c r="H100" i="1"/>
  <c r="H101" i="1" s="1"/>
  <c r="P57" i="1"/>
  <c r="P68" i="1"/>
  <c r="P76" i="1"/>
  <c r="P80" i="1"/>
  <c r="P93" i="1"/>
  <c r="P97" i="1"/>
  <c r="P32" i="1"/>
  <c r="E100" i="1"/>
  <c r="E101" i="1" s="1"/>
  <c r="P50" i="1"/>
  <c r="O100" i="1"/>
  <c r="O101" i="1" s="1"/>
  <c r="K100" i="1"/>
  <c r="K101" i="1" s="1"/>
  <c r="I100" i="1"/>
  <c r="I101" i="1" s="1"/>
  <c r="G100" i="1"/>
  <c r="G101" i="1" s="1"/>
  <c r="J100" i="1"/>
  <c r="J101" i="1" s="1"/>
  <c r="N100" i="1"/>
  <c r="N101" i="1" s="1"/>
  <c r="F100" i="1"/>
  <c r="F101" i="1" s="1"/>
  <c r="P10" i="1"/>
  <c r="P42" i="1"/>
  <c r="P100" i="1" l="1"/>
  <c r="P101" i="1" s="1"/>
</calcChain>
</file>

<file path=xl/sharedStrings.xml><?xml version="1.0" encoding="utf-8"?>
<sst xmlns="http://schemas.openxmlformats.org/spreadsheetml/2006/main" count="636" uniqueCount="143">
  <si>
    <t>Cree un sencillo presupuesto personal en esta hoja de cálculo. Encontrará instrucciones útiles sobre cómo usar esta hoja de cálculo en las celdas de esta columna. Presione la flecha abajo para empezar.</t>
  </si>
  <si>
    <t>El título de la hoja de cálculo está en la celda derecha. Escriba el año en la celda Q2. La instrucción siguiente se encuentra en la celda A4.</t>
  </si>
  <si>
    <t>Las etiquetas están en las celdas C4 a P4.</t>
  </si>
  <si>
    <t>Escriba la información en la tabla Ingresos que comienza en la celda C5. La instrucción siguiente se encuentra en la celda A11.</t>
  </si>
  <si>
    <t>Las etiquetas están en las celdas C11 a P11.</t>
  </si>
  <si>
    <t>En la tabla a partir de la celda C12, escriba los gastos domésticos. La instrucción siguiente se encuentra en la celda A20.</t>
  </si>
  <si>
    <t>En la tabla a partir de la celda C20, escriba los gastos diarios. La instrucción siguiente se encuentra en la celda A29.</t>
  </si>
  <si>
    <t>En la tabla a partir de la celda C29, escriba los gastos de transporte. La instrucción siguiente se encuentra en la celda A38.</t>
  </si>
  <si>
    <t>En la tabla a partir de la celda C38, escriba los gastos relacionados con el entretenimiento. La instrucción siguiente se encuentra en la celda A45.</t>
  </si>
  <si>
    <t>En la tabla a partir de la celda C45, escriba los gastos sanitarios. La instrucción siguiente se encuentra en la celda A55.</t>
  </si>
  <si>
    <t>En la tabla a partir de la celda C55, escriba los gastos relacionados con las vacaciones. La instrucción siguiente está en la celda A64.</t>
  </si>
  <si>
    <t>En la tabla a partir de la celda C64, escriba los gastos relacionados con el ocio. La siguiente instrucción se encuentra en la celda A71.</t>
  </si>
  <si>
    <t>En la tabla a partir de la celda C71, escriba los gastos de cuotas y suscripciones. La instrucción siguiente se encuentra en la celda A81.</t>
  </si>
  <si>
    <t>En la tabla a partir de la celda C89, escriba las obligaciones financieras. La siguiente instrucción se encuentra en la celda A97.</t>
  </si>
  <si>
    <t>En la tabla a partir de la celda C97, escriba los gastos varios. La instrucción siguiente se encuentra en la celda A105.</t>
  </si>
  <si>
    <t>PRESUPUESTO PERSONAL</t>
  </si>
  <si>
    <t>INGRESOS</t>
  </si>
  <si>
    <t>Salarios</t>
  </si>
  <si>
    <t>Intereses y dividendos</t>
  </si>
  <si>
    <t>Varios</t>
  </si>
  <si>
    <t>Total</t>
  </si>
  <si>
    <t>GASTOS</t>
  </si>
  <si>
    <t>PARTICULAR</t>
  </si>
  <si>
    <t>SALUD</t>
  </si>
  <si>
    <t>VACACIONES</t>
  </si>
  <si>
    <t>Ocio</t>
  </si>
  <si>
    <t>CUOTAS Y SUSCRIPCIONES</t>
  </si>
  <si>
    <t>PERSONAL</t>
  </si>
  <si>
    <t>OBLIGACIONES FINANCIERAS</t>
  </si>
  <si>
    <t>TOTALES</t>
  </si>
  <si>
    <t>Efectivo a corto plazo y gastos extra</t>
  </si>
  <si>
    <t>ENE</t>
  </si>
  <si>
    <t>Enero</t>
  </si>
  <si>
    <t>FEB</t>
  </si>
  <si>
    <t>Febrero</t>
  </si>
  <si>
    <t>MAR</t>
  </si>
  <si>
    <t>Marzo</t>
  </si>
  <si>
    <t>ABR</t>
  </si>
  <si>
    <t>Abril</t>
  </si>
  <si>
    <t>Mayo</t>
  </si>
  <si>
    <t>JUN</t>
  </si>
  <si>
    <t>Junio</t>
  </si>
  <si>
    <t>JUL</t>
  </si>
  <si>
    <t>Julio</t>
  </si>
  <si>
    <t>AGO</t>
  </si>
  <si>
    <t>Agosto</t>
  </si>
  <si>
    <t>SEP</t>
  </si>
  <si>
    <t>Septiembre</t>
  </si>
  <si>
    <t>OCT</t>
  </si>
  <si>
    <t>Octubre</t>
  </si>
  <si>
    <t>NOV</t>
  </si>
  <si>
    <t>Noviembre</t>
  </si>
  <si>
    <t>DIC</t>
  </si>
  <si>
    <t>Diciembre</t>
  </si>
  <si>
    <t>AÑO</t>
  </si>
  <si>
    <t>Año</t>
  </si>
  <si>
    <t>Minigráfico</t>
  </si>
  <si>
    <t>MINIGRÁFICO</t>
  </si>
  <si>
    <t>GANANCIAS</t>
  </si>
  <si>
    <t>MAY</t>
  </si>
  <si>
    <t>En la tabla a partir de la celda C81, escriba los gastos personal. La instrucción siguiente se encuentra en la celda A89.</t>
  </si>
  <si>
    <t>Los valores de la table totales se calculan automáticamente en la tabla a partir de la celda C105. El totales de gastos y la escasez o el excedente de efectivo se calculan automáticamente cada mes y año completo, y los minigráficos se actualizan.</t>
  </si>
  <si>
    <t>Totales de gastos</t>
  </si>
  <si>
    <t>Columna2</t>
  </si>
  <si>
    <t>Columna3</t>
  </si>
  <si>
    <t>14000</t>
  </si>
  <si>
    <t>Gastos Hormiga</t>
  </si>
  <si>
    <t>MASCOTA</t>
  </si>
  <si>
    <t>ALIMENTO</t>
  </si>
  <si>
    <t>VACUNAS</t>
  </si>
  <si>
    <t>CONSULTAS</t>
  </si>
  <si>
    <t>ESTETICA</t>
  </si>
  <si>
    <t>MEDICINAS</t>
  </si>
  <si>
    <t xml:space="preserve">ESTUDIOS </t>
  </si>
  <si>
    <t>PERSONALES</t>
  </si>
  <si>
    <t>ROPA</t>
  </si>
  <si>
    <t>ZAPATOS</t>
  </si>
  <si>
    <t>MAKE UP</t>
  </si>
  <si>
    <t>SKIN CARE</t>
  </si>
  <si>
    <t>REGALOS</t>
  </si>
  <si>
    <t>OTROS</t>
  </si>
  <si>
    <t>COMIDA</t>
  </si>
  <si>
    <t>CAFÉ</t>
  </si>
  <si>
    <t>MATERIAL CLINICO</t>
  </si>
  <si>
    <t xml:space="preserve">MANTENIMIENTO EQUIPO DENTAL </t>
  </si>
  <si>
    <t>VIAJES</t>
  </si>
  <si>
    <t>DESPENSA</t>
  </si>
  <si>
    <t>DECORACION Y DETALLES</t>
  </si>
  <si>
    <t>Ahorro a largo plazo</t>
  </si>
  <si>
    <t>SEGUROS GMM Y AUTO</t>
  </si>
  <si>
    <t>CIGARROS</t>
  </si>
  <si>
    <t>GASOLINA</t>
  </si>
  <si>
    <t>Fondo de Emergencias</t>
  </si>
  <si>
    <t>SALIDAS</t>
  </si>
  <si>
    <t>DEUDAS</t>
  </si>
  <si>
    <t>PAPA</t>
  </si>
  <si>
    <t>LIVERPOOL</t>
  </si>
  <si>
    <t>INVEX</t>
  </si>
  <si>
    <t>AGUINANLDO</t>
  </si>
  <si>
    <t>15 DE DIC*</t>
  </si>
  <si>
    <t>SEARS*</t>
  </si>
  <si>
    <t>Restaurantes/ comida</t>
  </si>
  <si>
    <t xml:space="preserve">Revista </t>
  </si>
  <si>
    <t>AMAZON PRIME</t>
  </si>
  <si>
    <t>MTTO CARRO</t>
  </si>
  <si>
    <t>UÑAS/ROPA/</t>
  </si>
  <si>
    <t>COSTAL CROCRETAS</t>
  </si>
  <si>
    <t>EJERCICIO</t>
  </si>
  <si>
    <t xml:space="preserve">Ahorro - Inversón </t>
  </si>
  <si>
    <t>Corto plazo</t>
  </si>
  <si>
    <t>(Puedes agregar más conceptos)</t>
  </si>
  <si>
    <t>Concepto</t>
  </si>
  <si>
    <t>Renta o Hipoteca</t>
  </si>
  <si>
    <t>Servicios (Luz, Agua, Gas)</t>
  </si>
  <si>
    <t>Internet y Telefonía</t>
  </si>
  <si>
    <t>Seguro de Auto/Vivienda</t>
  </si>
  <si>
    <t>Transporte Fijo</t>
  </si>
  <si>
    <t>Suscripciones</t>
  </si>
  <si>
    <t>Deuda Mínima</t>
  </si>
  <si>
    <t>TOTAL MENSUAL</t>
  </si>
  <si>
    <r>
      <t xml:space="preserve">¡Absolutamente! Aquí tienes una tabla con datos </t>
    </r>
    <r>
      <rPr>
        <b/>
        <sz val="10"/>
        <color rgb="FF1B1C1D"/>
        <rFont val="Arial"/>
        <family val="2"/>
      </rPr>
      <t>ficticios</t>
    </r>
    <r>
      <rPr>
        <sz val="10"/>
        <color rgb="FF1B1C1D"/>
        <rFont val="Arial"/>
        <family val="2"/>
      </rPr>
      <t xml:space="preserve"> de gastos </t>
    </r>
    <r>
      <rPr>
        <b/>
        <sz val="10"/>
        <color rgb="FF1B1C1D"/>
        <rFont val="Arial"/>
        <family val="2"/>
      </rPr>
      <t>variables</t>
    </r>
    <r>
      <rPr>
        <sz val="10"/>
        <color rgb="FF1B1C1D"/>
        <rFont val="Arial"/>
        <family val="2"/>
      </rPr>
      <t xml:space="preserve"> mensuales, diseñados para que el total se mantenga cerca o por debajo de los </t>
    </r>
    <r>
      <rPr>
        <b/>
        <sz val="10"/>
        <color rgb="FF1B1C1D"/>
        <rFont val="Arial"/>
        <family val="2"/>
      </rPr>
      <t>$10,000 MXN</t>
    </r>
    <r>
      <rPr>
        <sz val="10"/>
        <color rgb="FF1B1C1D"/>
        <rFont val="Arial"/>
        <family val="2"/>
      </rPr>
      <t xml:space="preserve"> por mes.</t>
    </r>
  </si>
  <si>
    <t>Los gastos variables, por definición, cambian de un mes a otro, por lo que he usado montos diferentes para los meses de Enero a Junio para simular esa variación.</t>
  </si>
  <si>
    <t>🛍️ Gastos Variables Mensuales por Concepto (Ficticios)</t>
  </si>
  <si>
    <t>Enero (MXN)</t>
  </si>
  <si>
    <t>Febrero (MXN)</t>
  </si>
  <si>
    <t>Marzo (MXN)</t>
  </si>
  <si>
    <t>Abril (MXN)</t>
  </si>
  <si>
    <t>Mayo (MXN)</t>
  </si>
  <si>
    <t>Junio (MXN)</t>
  </si>
  <si>
    <t>Gasto Máximo Estimado</t>
  </si>
  <si>
    <t>Supermercado y Despensa</t>
  </si>
  <si>
    <t>Entretenimiento y Ocio</t>
  </si>
  <si>
    <t>Comidas Fuera/Delivery</t>
  </si>
  <si>
    <t>Cuidado Personal y Salud</t>
  </si>
  <si>
    <t>Ropa y Accesorios</t>
  </si>
  <si>
    <t>Imprevistos/Misceláneos</t>
  </si>
  <si>
    <t>$10,000 (Límite)</t>
  </si>
  <si>
    <r>
      <t>El gasto máximo mensual en esta simulación fue de $9,800 MXN (en Abril),</t>
    </r>
    <r>
      <rPr>
        <sz val="10"/>
        <color rgb="FF1B1C1D"/>
        <rFont val="Arial"/>
        <family val="2"/>
      </rPr>
      <t xml:space="preserve"> cumpliendo con tu límite de $10,000 MXN.</t>
    </r>
  </si>
  <si>
    <t>Los conceptos como "Ropa y Accesorios" y "Cuidado Personal y Salud" muestran mayor variación, simulando que no se compra ropa todos los meses o que un mes se requiere una visita al médico/dentista.</t>
  </si>
  <si>
    <r>
      <t xml:space="preserve">¿Te gustaría que sume estos gastos variables a los gastos fijos que ya creamos para ver un </t>
    </r>
    <r>
      <rPr>
        <b/>
        <sz val="10"/>
        <color rgb="FF1B1C1D"/>
        <rFont val="Arial"/>
        <family val="2"/>
      </rPr>
      <t>total de egresos mensuales</t>
    </r>
    <r>
      <rPr>
        <sz val="10"/>
        <color rgb="FF1B1C1D"/>
        <rFont val="Arial"/>
        <family val="2"/>
      </rPr>
      <t xml:space="preserve"> o que cree una sección de </t>
    </r>
    <r>
      <rPr>
        <b/>
        <sz val="10"/>
        <color rgb="FF1B1C1D"/>
        <rFont val="Arial"/>
        <family val="2"/>
      </rPr>
      <t>ahorro e inversión</t>
    </r>
    <r>
      <rPr>
        <sz val="10"/>
        <color rgb="FF1B1C1D"/>
        <rFont val="Arial"/>
        <family val="2"/>
      </rPr>
      <t>?</t>
    </r>
  </si>
  <si>
    <t>Imprevistos</t>
  </si>
  <si>
    <t xml:space="preserve"> $9,800.00 </t>
  </si>
  <si>
    <t xml:space="preserve"> $9,050.00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</si>
</sst>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6" formatCode="&quot;$&quot;#,##0_);[Red]\(&quot;$&quot;#,##0\)"/>
    <numFmt numFmtId="164" formatCode="_-&quot;$&quot;* #,##0.00_-;\-&quot;$&quot;* #,##0.00_-;_-&quot;$&quot;* &quot;-&quot;??_-;_-@_-"/>
    <numFmt numFmtId="165" formatCode="&quot;$&quot;#,##0.00"/>
    <numFmt numFmtId="166" formatCode="#,##0.00\ &quot;€&quot;"/>
  </numFmts>
  <fonts count="24" x14ac:knownFonts="1">
    <font>
      <sz val="10"/>
      <color theme="1" tint="0.14993743705557422"/>
      <name val="verdana"/>
      <family val="2"/>
      <scheme val="minor"/>
    </font>
    <font>
      <b/>
      <sz val="10"/>
      <color theme="1" tint="0.14990691854609822"/>
      <name val="Gill Sans MT"/>
      <family val="2"/>
      <scheme val="major"/>
    </font>
    <font>
      <sz val="11"/>
      <color theme="1" tint="0.14993743705557422"/>
      <name val="Gill Sans MT"/>
      <family val="2"/>
      <scheme val="major"/>
    </font>
    <font>
      <sz val="22"/>
      <color theme="1" tint="0.14993743705557422"/>
      <name val="Gill Sans MT"/>
      <family val="2"/>
      <scheme val="major"/>
    </font>
    <font>
      <sz val="10"/>
      <color theme="4" tint="-0.499984740745262"/>
      <name val="verdana"/>
      <family val="2"/>
      <scheme val="minor"/>
    </font>
    <font>
      <sz val="10"/>
      <color theme="5" tint="-0.499984740745262"/>
      <name val="verdana"/>
      <family val="2"/>
      <scheme val="minor"/>
    </font>
    <font>
      <sz val="11"/>
      <color theme="1" tint="0.34998626667073579"/>
      <name val="Gill Sans MT"/>
      <family val="2"/>
      <scheme val="major"/>
    </font>
    <font>
      <b/>
      <sz val="10"/>
      <color theme="4"/>
      <name val="Gill Sans MT"/>
      <family val="2"/>
      <scheme val="major"/>
    </font>
    <font>
      <sz val="10"/>
      <color theme="0"/>
      <name val="verdana"/>
      <family val="2"/>
      <scheme val="minor"/>
    </font>
    <font>
      <b/>
      <sz val="10"/>
      <color theme="5"/>
      <name val="Gill Sans MT"/>
      <family val="2"/>
      <scheme val="major"/>
    </font>
    <font>
      <b/>
      <sz val="10"/>
      <color theme="0"/>
      <name val="Gill Sans MT"/>
      <family val="2"/>
      <scheme val="major"/>
    </font>
    <font>
      <b/>
      <sz val="10"/>
      <color theme="4"/>
      <name val="verdana"/>
      <family val="2"/>
      <scheme val="minor"/>
    </font>
    <font>
      <b/>
      <sz val="10"/>
      <color theme="5"/>
      <name val="verdana"/>
      <family val="2"/>
      <scheme val="minor"/>
    </font>
    <font>
      <b/>
      <sz val="25"/>
      <color rgb="FF000000"/>
      <name val="Gill Sans MT"/>
      <family val="2"/>
    </font>
    <font>
      <sz val="10"/>
      <color rgb="FFF7F7F7"/>
      <name val="verdana"/>
      <family val="2"/>
      <scheme val="minor"/>
    </font>
    <font>
      <sz val="11"/>
      <color rgb="FFF7F7F7"/>
      <name val="Calibri"/>
      <family val="2"/>
    </font>
    <font>
      <b/>
      <sz val="10"/>
      <color theme="1"/>
      <name val="Gill Sans MT"/>
      <family val="2"/>
      <scheme val="major"/>
    </font>
    <font>
      <sz val="10"/>
      <color theme="1" tint="0.14993743705557422"/>
      <name val="verdana"/>
      <family val="2"/>
      <scheme val="minor"/>
    </font>
    <font>
      <sz val="10"/>
      <name val="verdana"/>
      <family val="2"/>
      <scheme val="minor"/>
    </font>
    <font>
      <sz val="8"/>
      <name val="verdana"/>
      <family val="2"/>
      <scheme val="minor"/>
    </font>
    <font>
      <sz val="10"/>
      <color theme="1"/>
      <name val="verdana"/>
      <family val="2"/>
      <scheme val="minor"/>
    </font>
    <font>
      <sz val="10"/>
      <color rgb="FF1B1C1D"/>
      <name val="Arial"/>
      <family val="2"/>
    </font>
    <font>
      <b/>
      <sz val="10"/>
      <color rgb="FF1B1C1D"/>
      <name val="Arial"/>
      <family val="2"/>
    </font>
    <font>
      <b/>
      <sz val="18"/>
      <color rgb="FF1B1C1D"/>
      <name val="Arial"/>
      <family val="2"/>
    </font>
  </fonts>
  <fills count="15">
    <fill>
      <patternFill patternType="none"/>
    </fill>
    <fill>
      <patternFill patternType="gray125"/>
    </fill>
    <fill>
      <gradientFill degree="90">
        <stop position="0">
          <color theme="0"/>
        </stop>
        <stop position="1">
          <color theme="5" tint="0.80001220740379042"/>
        </stop>
      </gradientFill>
    </fill>
    <fill>
      <patternFill patternType="solid">
        <fgColor theme="4" tint="0.79998168889431442"/>
        <bgColor indexed="64"/>
      </patternFill>
    </fill>
    <fill>
      <patternFill patternType="solid">
        <fgColor theme="5"/>
        <bgColor indexed="64"/>
      </patternFill>
    </fill>
    <fill>
      <patternFill patternType="solid">
        <fgColor theme="4"/>
        <bgColor indexed="64"/>
      </patternFill>
    </fill>
    <fill>
      <patternFill patternType="solid">
        <fgColor theme="0"/>
        <bgColor auto="1"/>
      </patternFill>
    </fill>
    <fill>
      <patternFill patternType="solid">
        <fgColor theme="0" tint="-4.9989318521683403E-2"/>
        <bgColor indexed="64"/>
      </patternFill>
    </fill>
    <fill>
      <patternFill patternType="solid">
        <fgColor theme="4" tint="0.59999389629810485"/>
        <bgColor indexed="64"/>
      </patternFill>
    </fill>
    <fill>
      <patternFill patternType="solid">
        <fgColor theme="5" tint="0.79998168889431442"/>
        <bgColor indexed="64"/>
      </patternFill>
    </fill>
    <fill>
      <patternFill patternType="solid">
        <fgColor theme="1"/>
        <bgColor indexed="64"/>
      </patternFill>
    </fill>
    <fill>
      <patternFill patternType="solid">
        <fgColor theme="1" tint="0.34998626667073579"/>
        <bgColor indexed="64"/>
      </patternFill>
    </fill>
    <fill>
      <patternFill patternType="solid">
        <fgColor theme="0"/>
        <bgColor indexed="64"/>
      </patternFill>
    </fill>
    <fill>
      <patternFill patternType="solid">
        <fgColor theme="5" tint="0.59999389629810485"/>
        <bgColor indexed="64"/>
      </patternFill>
    </fill>
    <fill>
      <patternFill patternType="solid">
        <fgColor rgb="FFF7F7F7"/>
        <bgColor indexed="64"/>
      </patternFill>
    </fill>
  </fills>
  <borders count="14">
    <border>
      <left/>
      <right/>
      <top/>
      <bottom/>
      <diagonal/>
    </border>
    <border>
      <left/>
      <right/>
      <top/>
      <bottom style="medium">
        <color theme="4" tint="-0.24994659260841701"/>
      </bottom>
      <diagonal/>
    </border>
    <border>
      <left/>
      <right/>
      <top style="medium">
        <color theme="1"/>
      </top>
      <bottom/>
      <diagonal/>
    </border>
    <border>
      <left/>
      <right/>
      <top/>
      <bottom style="medium">
        <color theme="1"/>
      </bottom>
      <diagonal/>
    </border>
    <border>
      <left/>
      <right style="thick">
        <color theme="4"/>
      </right>
      <top/>
      <bottom/>
      <diagonal/>
    </border>
    <border>
      <left/>
      <right style="thick">
        <color theme="5"/>
      </right>
      <top/>
      <bottom/>
      <diagonal/>
    </border>
    <border>
      <left style="thick">
        <color theme="5"/>
      </left>
      <right/>
      <top/>
      <bottom/>
      <diagonal/>
    </border>
    <border>
      <left/>
      <right/>
      <top/>
      <bottom style="thick">
        <color theme="0"/>
      </bottom>
      <diagonal/>
    </border>
    <border>
      <left/>
      <right style="medium">
        <color theme="5" tint="0.79998168889431442"/>
      </right>
      <top/>
      <bottom/>
      <diagonal/>
    </border>
    <border>
      <left style="thick">
        <color theme="4"/>
      </left>
      <right/>
      <top/>
      <bottom style="thick">
        <color theme="0"/>
      </bottom>
      <diagonal/>
    </border>
    <border>
      <left style="thick">
        <color theme="5"/>
      </left>
      <right/>
      <top/>
      <bottom style="thick">
        <color theme="0"/>
      </bottom>
      <diagonal/>
    </border>
    <border>
      <left style="thin">
        <color theme="5"/>
      </left>
      <right/>
      <top/>
      <bottom/>
      <diagonal/>
    </border>
    <border>
      <left style="thick">
        <color theme="4"/>
      </left>
      <right/>
      <top/>
      <bottom/>
      <diagonal/>
    </border>
    <border>
      <left style="medium">
        <color rgb="FF000000"/>
      </left>
      <right style="medium">
        <color rgb="FF000000"/>
      </right>
      <top style="medium">
        <color rgb="FF000000"/>
      </top>
      <bottom style="medium">
        <color rgb="FF000000"/>
      </bottom>
      <diagonal/>
    </border>
  </borders>
  <cellStyleXfs count="6">
    <xf numFmtId="0" fontId="0" fillId="14" borderId="0">
      <alignment vertical="center"/>
    </xf>
    <xf numFmtId="0" fontId="3" fillId="0" borderId="0" applyNumberFormat="0" applyFill="0" applyProtection="0">
      <alignment vertical="center"/>
    </xf>
    <xf numFmtId="0" fontId="2" fillId="0" borderId="1" applyNumberFormat="0" applyFill="0" applyProtection="0">
      <alignment vertical="center"/>
    </xf>
    <xf numFmtId="0" fontId="1" fillId="6" borderId="0" applyNumberFormat="0" applyProtection="0">
      <alignment horizontal="left" vertical="center" indent="1"/>
    </xf>
    <xf numFmtId="0" fontId="1" fillId="2" borderId="0" applyNumberFormat="0" applyProtection="0">
      <alignment vertical="center"/>
    </xf>
    <xf numFmtId="164" fontId="17" fillId="0" borderId="0" applyFont="0" applyFill="0" applyBorder="0" applyAlignment="0" applyProtection="0"/>
  </cellStyleXfs>
  <cellXfs count="90">
    <xf numFmtId="0" fontId="0" fillId="14" borderId="0" xfId="0">
      <alignment vertical="center"/>
    </xf>
    <xf numFmtId="0" fontId="0" fillId="14" borderId="0" xfId="0" applyAlignment="1">
      <alignment horizontal="right" vertical="center"/>
    </xf>
    <xf numFmtId="0" fontId="0" fillId="5" borderId="0" xfId="0" applyFill="1">
      <alignment vertical="center"/>
    </xf>
    <xf numFmtId="0" fontId="0" fillId="4" borderId="0" xfId="0" applyFill="1">
      <alignment vertical="center"/>
    </xf>
    <xf numFmtId="0" fontId="8" fillId="10" borderId="0" xfId="0" applyFont="1" applyFill="1">
      <alignment vertical="center"/>
    </xf>
    <xf numFmtId="0" fontId="8" fillId="11" borderId="0" xfId="0" applyFont="1" applyFill="1">
      <alignment vertical="center"/>
    </xf>
    <xf numFmtId="0" fontId="0" fillId="14" borderId="4" xfId="0" applyBorder="1">
      <alignment vertical="center"/>
    </xf>
    <xf numFmtId="0" fontId="0" fillId="14" borderId="5" xfId="0" applyBorder="1">
      <alignment vertical="center"/>
    </xf>
    <xf numFmtId="0" fontId="0" fillId="14" borderId="2" xfId="0" applyBorder="1" applyAlignment="1">
      <alignment horizontal="right" vertical="center"/>
    </xf>
    <xf numFmtId="0" fontId="8" fillId="14" borderId="3" xfId="0" applyFont="1" applyBorder="1">
      <alignment vertical="center"/>
    </xf>
    <xf numFmtId="0" fontId="14" fillId="14" borderId="0" xfId="0" applyFont="1" applyAlignment="1">
      <alignment wrapText="1"/>
    </xf>
    <xf numFmtId="0" fontId="15" fillId="14" borderId="0" xfId="0" applyFont="1" applyAlignment="1">
      <alignment vertical="center" wrapText="1"/>
    </xf>
    <xf numFmtId="0" fontId="14" fillId="14" borderId="0" xfId="0" applyFont="1" applyAlignment="1">
      <alignment vertical="center" wrapText="1"/>
    </xf>
    <xf numFmtId="164" fontId="0" fillId="14" borderId="0" xfId="5" applyFont="1" applyFill="1" applyAlignment="1">
      <alignment vertical="center"/>
    </xf>
    <xf numFmtId="164" fontId="0" fillId="14" borderId="0" xfId="0" applyNumberFormat="1">
      <alignment vertical="center"/>
    </xf>
    <xf numFmtId="16" fontId="0" fillId="14" borderId="0" xfId="0" applyNumberFormat="1">
      <alignment vertical="center"/>
    </xf>
    <xf numFmtId="0" fontId="13" fillId="14" borderId="0" xfId="0" applyFont="1" applyAlignment="1"/>
    <xf numFmtId="0" fontId="0" fillId="14" borderId="3" xfId="0" applyBorder="1" applyAlignment="1">
      <alignment horizontal="center" vertical="center"/>
    </xf>
    <xf numFmtId="0" fontId="0" fillId="0" borderId="0" xfId="0" applyFill="1">
      <alignment vertical="center"/>
    </xf>
    <xf numFmtId="0" fontId="0" fillId="14" borderId="0" xfId="0" applyBorder="1">
      <alignment vertical="center"/>
    </xf>
    <xf numFmtId="0" fontId="20" fillId="3" borderId="0" xfId="0" applyFont="1" applyFill="1" applyAlignment="1">
      <alignment horizontal="center" vertical="center"/>
    </xf>
    <xf numFmtId="0" fontId="20" fillId="12" borderId="0" xfId="0" applyFont="1" applyFill="1" applyAlignment="1">
      <alignment horizontal="center" vertical="center"/>
    </xf>
    <xf numFmtId="164" fontId="20" fillId="3" borderId="0" xfId="5" applyFont="1" applyFill="1" applyAlignment="1">
      <alignment horizontal="center" vertical="center"/>
    </xf>
    <xf numFmtId="164" fontId="20" fillId="12" borderId="0" xfId="5" applyFont="1" applyFill="1" applyAlignment="1">
      <alignment horizontal="center" vertical="center"/>
    </xf>
    <xf numFmtId="0" fontId="20" fillId="9" borderId="8" xfId="0" applyFont="1" applyFill="1" applyBorder="1" applyAlignment="1">
      <alignment horizontal="center" vertical="center"/>
    </xf>
    <xf numFmtId="164" fontId="20" fillId="9" borderId="8" xfId="5" applyFont="1" applyFill="1" applyBorder="1" applyAlignment="1">
      <alignment horizontal="center" vertical="center"/>
    </xf>
    <xf numFmtId="0" fontId="8" fillId="12" borderId="0" xfId="0" applyFont="1" applyFill="1" applyAlignment="1">
      <alignment horizontal="center" vertical="center"/>
    </xf>
    <xf numFmtId="0" fontId="6" fillId="12" borderId="0" xfId="2" applyFont="1" applyFill="1" applyBorder="1" applyAlignment="1">
      <alignment horizontal="center" vertical="center"/>
    </xf>
    <xf numFmtId="164" fontId="4" fillId="12" borderId="0" xfId="5" applyFont="1" applyFill="1" applyAlignment="1">
      <alignment horizontal="center" vertical="center"/>
    </xf>
    <xf numFmtId="166" fontId="4" fillId="12" borderId="0" xfId="0" applyNumberFormat="1" applyFont="1" applyFill="1" applyAlignment="1">
      <alignment horizontal="center" vertical="center"/>
    </xf>
    <xf numFmtId="166" fontId="0" fillId="12" borderId="0" xfId="0" applyNumberFormat="1" applyFill="1" applyAlignment="1">
      <alignment horizontal="center" vertical="center"/>
    </xf>
    <xf numFmtId="164" fontId="4" fillId="7" borderId="7" xfId="0" applyNumberFormat="1" applyFont="1" applyFill="1" applyBorder="1" applyAlignment="1">
      <alignment horizontal="center" vertical="center"/>
    </xf>
    <xf numFmtId="0" fontId="4" fillId="7" borderId="7" xfId="0" applyFont="1" applyFill="1" applyBorder="1" applyAlignment="1">
      <alignment horizontal="center" vertical="center"/>
    </xf>
    <xf numFmtId="0" fontId="0" fillId="14" borderId="0" xfId="0" applyAlignment="1">
      <alignment horizontal="center" vertical="center"/>
    </xf>
    <xf numFmtId="164" fontId="18" fillId="12" borderId="0" xfId="5" applyFont="1" applyFill="1" applyAlignment="1">
      <alignment horizontal="center" vertical="center"/>
    </xf>
    <xf numFmtId="164" fontId="5" fillId="12" borderId="0" xfId="5" applyFont="1" applyFill="1" applyAlignment="1">
      <alignment horizontal="center" vertical="center"/>
    </xf>
    <xf numFmtId="164" fontId="5" fillId="7" borderId="7" xfId="0" applyNumberFormat="1" applyFont="1" applyFill="1" applyBorder="1" applyAlignment="1">
      <alignment horizontal="center" vertical="center"/>
    </xf>
    <xf numFmtId="0" fontId="5" fillId="7" borderId="7" xfId="0" applyFont="1" applyFill="1" applyBorder="1" applyAlignment="1">
      <alignment horizontal="center" vertical="center"/>
    </xf>
    <xf numFmtId="0" fontId="0" fillId="14" borderId="0" xfId="0" applyBorder="1" applyAlignment="1">
      <alignment horizontal="center" vertical="center"/>
    </xf>
    <xf numFmtId="164" fontId="0" fillId="3" borderId="0" xfId="5" applyFont="1" applyFill="1" applyAlignment="1">
      <alignment horizontal="center" vertical="center"/>
    </xf>
    <xf numFmtId="164" fontId="0" fillId="8" borderId="0" xfId="0" applyNumberFormat="1" applyFill="1" applyBorder="1" applyAlignment="1">
      <alignment horizontal="center" vertical="center"/>
    </xf>
    <xf numFmtId="164" fontId="0" fillId="7" borderId="0" xfId="0" applyNumberFormat="1" applyFill="1" applyBorder="1" applyAlignment="1">
      <alignment horizontal="center" vertical="center"/>
    </xf>
    <xf numFmtId="0" fontId="0" fillId="7" borderId="0" xfId="0" applyFill="1" applyBorder="1" applyAlignment="1">
      <alignment horizontal="center" vertical="center"/>
    </xf>
    <xf numFmtId="0" fontId="0" fillId="14" borderId="0" xfId="0" applyBorder="1" applyAlignment="1">
      <alignment horizontal="center" vertical="center"/>
    </xf>
    <xf numFmtId="164" fontId="0" fillId="9" borderId="0" xfId="5" applyFont="1" applyFill="1" applyAlignment="1">
      <alignment horizontal="center" vertical="center"/>
    </xf>
    <xf numFmtId="164" fontId="0" fillId="13" borderId="0" xfId="0" applyNumberFormat="1" applyFont="1" applyFill="1" applyBorder="1" applyAlignment="1">
      <alignment horizontal="center" vertical="center"/>
    </xf>
    <xf numFmtId="164" fontId="0" fillId="7" borderId="0" xfId="0" applyNumberFormat="1" applyFont="1" applyFill="1" applyBorder="1" applyAlignment="1">
      <alignment horizontal="center" vertical="center"/>
    </xf>
    <xf numFmtId="164" fontId="0" fillId="13" borderId="7" xfId="0" applyNumberFormat="1" applyFill="1" applyBorder="1" applyAlignment="1">
      <alignment horizontal="center" vertical="center"/>
    </xf>
    <xf numFmtId="164" fontId="0" fillId="7" borderId="7" xfId="0" applyNumberFormat="1" applyFill="1" applyBorder="1" applyAlignment="1">
      <alignment horizontal="center" vertical="center"/>
    </xf>
    <xf numFmtId="0" fontId="0" fillId="7" borderId="7" xfId="0" applyFill="1" applyBorder="1" applyAlignment="1">
      <alignment horizontal="center" vertical="center"/>
    </xf>
    <xf numFmtId="0" fontId="0" fillId="14" borderId="0" xfId="0" applyAlignment="1">
      <alignment horizontal="center" vertical="center"/>
    </xf>
    <xf numFmtId="164" fontId="0" fillId="8" borderId="7" xfId="0" applyNumberFormat="1" applyFill="1" applyBorder="1" applyAlignment="1">
      <alignment horizontal="center" vertical="center"/>
    </xf>
    <xf numFmtId="164" fontId="0" fillId="8" borderId="7" xfId="0" applyNumberFormat="1" applyFont="1" applyFill="1" applyBorder="1" applyAlignment="1">
      <alignment horizontal="center" vertical="center"/>
    </xf>
    <xf numFmtId="164" fontId="0" fillId="7" borderId="7" xfId="0" applyNumberFormat="1" applyFont="1" applyFill="1" applyBorder="1" applyAlignment="1">
      <alignment horizontal="center" vertical="center"/>
    </xf>
    <xf numFmtId="164" fontId="0" fillId="13" borderId="7" xfId="0" applyNumberFormat="1" applyFont="1" applyFill="1" applyBorder="1" applyAlignment="1">
      <alignment horizontal="center" vertical="center"/>
    </xf>
    <xf numFmtId="0" fontId="10" fillId="10" borderId="0" xfId="3" applyFont="1" applyFill="1" applyAlignment="1">
      <alignment horizontal="center" vertical="center"/>
    </xf>
    <xf numFmtId="0" fontId="10" fillId="11" borderId="0" xfId="3" applyFont="1" applyFill="1" applyAlignment="1">
      <alignment horizontal="center" vertical="center"/>
    </xf>
    <xf numFmtId="0" fontId="16" fillId="10" borderId="0" xfId="3" applyFont="1" applyFill="1" applyAlignment="1">
      <alignment horizontal="center" vertical="center"/>
    </xf>
    <xf numFmtId="164" fontId="8" fillId="11" borderId="0" xfId="5" applyFont="1" applyFill="1" applyAlignment="1">
      <alignment horizontal="center" vertical="center"/>
    </xf>
    <xf numFmtId="164" fontId="8" fillId="10" borderId="0" xfId="5" applyFont="1" applyFill="1" applyAlignment="1">
      <alignment horizontal="center" vertical="center"/>
    </xf>
    <xf numFmtId="165" fontId="8" fillId="10" borderId="0" xfId="0" applyNumberFormat="1" applyFont="1" applyFill="1" applyAlignment="1">
      <alignment horizontal="center" vertical="center"/>
    </xf>
    <xf numFmtId="0" fontId="6" fillId="12" borderId="0" xfId="2" applyFont="1" applyFill="1" applyBorder="1" applyAlignment="1">
      <alignment horizontal="left" vertical="center"/>
    </xf>
    <xf numFmtId="0" fontId="7" fillId="12" borderId="0" xfId="3" applyFont="1" applyFill="1" applyAlignment="1">
      <alignment horizontal="left" vertical="center"/>
    </xf>
    <xf numFmtId="0" fontId="4" fillId="12" borderId="0" xfId="0" applyFont="1" applyFill="1" applyAlignment="1">
      <alignment horizontal="left" vertical="center"/>
    </xf>
    <xf numFmtId="0" fontId="5" fillId="12" borderId="0" xfId="0" applyFont="1" applyFill="1" applyAlignment="1">
      <alignment horizontal="left" vertical="center"/>
    </xf>
    <xf numFmtId="0" fontId="4" fillId="7" borderId="0" xfId="0" applyFont="1" applyFill="1" applyBorder="1" applyAlignment="1">
      <alignment horizontal="left" vertical="center"/>
    </xf>
    <xf numFmtId="0" fontId="0" fillId="14" borderId="0" xfId="0" applyAlignment="1">
      <alignment horizontal="left" vertical="center"/>
    </xf>
    <xf numFmtId="0" fontId="9" fillId="12" borderId="0" xfId="3" applyFont="1" applyFill="1" applyAlignment="1">
      <alignment horizontal="left" vertical="center"/>
    </xf>
    <xf numFmtId="0" fontId="5" fillId="7" borderId="11" xfId="0" applyFont="1" applyFill="1" applyBorder="1" applyAlignment="1">
      <alignment horizontal="left" vertical="center"/>
    </xf>
    <xf numFmtId="0" fontId="7" fillId="12" borderId="0" xfId="0" applyFont="1" applyFill="1" applyAlignment="1">
      <alignment horizontal="left" vertical="center"/>
    </xf>
    <xf numFmtId="0" fontId="0" fillId="12" borderId="0" xfId="0" applyFill="1" applyAlignment="1">
      <alignment horizontal="left" vertical="center"/>
    </xf>
    <xf numFmtId="0" fontId="0" fillId="7" borderId="12" xfId="0" applyFill="1" applyBorder="1" applyAlignment="1">
      <alignment horizontal="left" vertical="center"/>
    </xf>
    <xf numFmtId="0" fontId="9" fillId="12" borderId="0" xfId="0" applyFont="1" applyFill="1" applyAlignment="1">
      <alignment horizontal="left" vertical="center"/>
    </xf>
    <xf numFmtId="0" fontId="0" fillId="7" borderId="6" xfId="0" applyFill="1" applyBorder="1" applyAlignment="1">
      <alignment horizontal="left" vertical="center"/>
    </xf>
    <xf numFmtId="0" fontId="0" fillId="12" borderId="6" xfId="0" applyFill="1" applyBorder="1" applyAlignment="1">
      <alignment horizontal="left" vertical="center"/>
    </xf>
    <xf numFmtId="0" fontId="0" fillId="7" borderId="10" xfId="0" applyFill="1" applyBorder="1" applyAlignment="1">
      <alignment horizontal="left" vertical="center"/>
    </xf>
    <xf numFmtId="0" fontId="0" fillId="7" borderId="9" xfId="0" applyFill="1" applyBorder="1" applyAlignment="1">
      <alignment horizontal="left" vertical="center"/>
    </xf>
    <xf numFmtId="0" fontId="11" fillId="12" borderId="0" xfId="0" applyFont="1" applyFill="1" applyAlignment="1">
      <alignment horizontal="left" vertical="center"/>
    </xf>
    <xf numFmtId="0" fontId="12" fillId="12" borderId="0" xfId="0" applyFont="1" applyFill="1" applyAlignment="1">
      <alignment horizontal="left" vertical="center"/>
    </xf>
    <xf numFmtId="0" fontId="10" fillId="10" borderId="0" xfId="3" applyFont="1" applyFill="1" applyAlignment="1">
      <alignment horizontal="left" vertical="center"/>
    </xf>
    <xf numFmtId="0" fontId="8" fillId="10" borderId="0" xfId="0" applyFont="1" applyFill="1" applyAlignment="1">
      <alignment horizontal="left" vertical="center"/>
    </xf>
    <xf numFmtId="164" fontId="0" fillId="8" borderId="0" xfId="0" applyNumberFormat="1" applyFont="1" applyFill="1" applyBorder="1" applyAlignment="1">
      <alignment horizontal="center" vertical="center"/>
    </xf>
    <xf numFmtId="164" fontId="0" fillId="13" borderId="0" xfId="0" applyNumberFormat="1" applyFill="1" applyBorder="1" applyAlignment="1">
      <alignment horizontal="center" vertical="center"/>
    </xf>
    <xf numFmtId="0" fontId="21" fillId="14" borderId="0" xfId="0" applyFont="1" applyAlignment="1">
      <alignment vertical="center" readingOrder="1"/>
    </xf>
    <xf numFmtId="0" fontId="23" fillId="14" borderId="0" xfId="0" applyFont="1" applyAlignment="1">
      <alignment vertical="center" readingOrder="1"/>
    </xf>
    <xf numFmtId="0" fontId="22" fillId="14" borderId="13" xfId="0" applyFont="1" applyBorder="1" applyAlignment="1">
      <alignment vertical="center" wrapText="1" readingOrder="1"/>
    </xf>
    <xf numFmtId="6" fontId="21" fillId="14" borderId="13" xfId="0" applyNumberFormat="1" applyFont="1" applyBorder="1" applyAlignment="1">
      <alignment vertical="center" wrapText="1" readingOrder="1"/>
    </xf>
    <xf numFmtId="6" fontId="22" fillId="14" borderId="13" xfId="0" applyNumberFormat="1" applyFont="1" applyBorder="1" applyAlignment="1">
      <alignment vertical="center" wrapText="1" readingOrder="1"/>
    </xf>
    <xf numFmtId="0" fontId="22" fillId="14" borderId="0" xfId="0" applyFont="1" applyAlignment="1">
      <alignment horizontal="left" vertical="center" indent="1" readingOrder="1"/>
    </xf>
    <xf numFmtId="0" fontId="21" fillId="14" borderId="0" xfId="0" applyFont="1" applyAlignment="1">
      <alignment horizontal="left" vertical="center" indent="1" readingOrder="1"/>
    </xf>
  </cellXfs>
  <cellStyles count="6">
    <cellStyle name="Currency" xfId="5" builtinId="4"/>
    <cellStyle name="Heading 1" xfId="1" builtinId="16" customBuiltin="1"/>
    <cellStyle name="Heading 2" xfId="2" builtinId="17" customBuiltin="1"/>
    <cellStyle name="Heading 3" xfId="3" builtinId="18" customBuiltin="1"/>
    <cellStyle name="Heading 4" xfId="4" builtinId="19" hidden="1" customBuiltin="1"/>
    <cellStyle name="Normal" xfId="0" builtinId="0" customBuiltin="1"/>
  </cellStyles>
  <dxfs count="834">
    <dxf>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numFmt numFmtId="164" formatCode="_-&quot;$&quot;* #,##0.00_-;\-&quot;$&quot;* #,##0.00_-;_-&quot;$&quot;* &quot;-&quot;??_-;_-@_-"/>
      <fill>
        <patternFill patternType="solid">
          <fgColor indexed="64"/>
          <bgColor theme="5" tint="0.59999389629810485"/>
        </patternFill>
      </fill>
      <alignment horizontal="center" vertical="center" textRotation="0" wrapText="0" indent="0" justifyLastLine="0" shrinkToFit="0" readingOrder="0"/>
      <border diagonalUp="0" diagonalDown="0" outline="0">
        <left/>
        <right/>
        <top/>
        <bottom/>
      </border>
    </dxf>
    <dxf>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numFmt numFmtId="164" formatCode="_-&quot;$&quot;* #,##0.00_-;\-&quot;$&quot;* #,##0.00_-;_-&quot;$&quot;* &quot;-&quot;??_-;_-@_-"/>
      <fill>
        <patternFill patternType="solid">
          <fgColor indexed="64"/>
          <bgColor theme="5" tint="0.59999389629810485"/>
        </patternFill>
      </fill>
      <alignment horizontal="center" vertical="center" textRotation="0" wrapText="0" indent="0" justifyLastLine="0" shrinkToFit="0" readingOrder="0"/>
      <border diagonalUp="0" diagonalDown="0" outline="0">
        <left/>
        <right/>
        <top/>
        <bottom/>
      </border>
    </dxf>
    <dxf>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numFmt numFmtId="164" formatCode="_-&quot;$&quot;* #,##0.00_-;\-&quot;$&quot;* #,##0.00_-;_-&quot;$&quot;* &quot;-&quot;??_-;_-@_-"/>
      <fill>
        <patternFill patternType="solid">
          <fgColor indexed="64"/>
          <bgColor theme="5" tint="0.59999389629810485"/>
        </patternFill>
      </fill>
      <alignment horizontal="center" vertical="center" textRotation="0" wrapText="0" indent="0" justifyLastLine="0" shrinkToFit="0" readingOrder="0"/>
      <border diagonalUp="0" diagonalDown="0" outline="0">
        <left/>
        <right/>
        <top/>
        <bottom/>
      </border>
    </dxf>
    <dxf>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numFmt numFmtId="164" formatCode="_-&quot;$&quot;* #,##0.00_-;\-&quot;$&quot;* #,##0.00_-;_-&quot;$&quot;* &quot;-&quot;??_-;_-@_-"/>
      <fill>
        <patternFill patternType="solid">
          <fgColor indexed="64"/>
          <bgColor theme="5" tint="0.59999389629810485"/>
        </patternFill>
      </fill>
      <alignment horizontal="center" vertical="center" textRotation="0" wrapText="0" indent="0" justifyLastLine="0" shrinkToFit="0" readingOrder="0"/>
      <border diagonalUp="0" diagonalDown="0" outline="0">
        <left/>
        <right/>
        <top/>
        <bottom/>
      </border>
    </dxf>
    <dxf>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numFmt numFmtId="164" formatCode="_-&quot;$&quot;* #,##0.00_-;\-&quot;$&quot;* #,##0.00_-;_-&quot;$&quot;* &quot;-&quot;??_-;_-@_-"/>
      <fill>
        <patternFill patternType="solid">
          <fgColor indexed="64"/>
          <bgColor theme="5" tint="0.59999389629810485"/>
        </patternFill>
      </fill>
      <alignment horizontal="center" vertical="center" textRotation="0" wrapText="0" indent="0" justifyLastLine="0" shrinkToFit="0" readingOrder="0"/>
      <border diagonalUp="0" diagonalDown="0" outline="0">
        <left/>
        <right/>
        <top/>
        <bottom/>
      </border>
    </dxf>
    <dxf>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numFmt numFmtId="164" formatCode="_-&quot;$&quot;* #,##0.00_-;\-&quot;$&quot;* #,##0.00_-;_-&quot;$&quot;* &quot;-&quot;??_-;_-@_-"/>
      <fill>
        <patternFill patternType="solid">
          <fgColor indexed="64"/>
          <bgColor theme="5" tint="0.59999389629810485"/>
        </patternFill>
      </fill>
      <alignment horizontal="center" vertical="center" textRotation="0" wrapText="0" indent="0" justifyLastLine="0" shrinkToFit="0" readingOrder="0"/>
      <border diagonalUp="0" diagonalDown="0" outline="0">
        <left/>
        <right/>
        <top/>
        <bottom/>
      </border>
    </dxf>
    <dxf>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numFmt numFmtId="164" formatCode="_-&quot;$&quot;* #,##0.00_-;\-&quot;$&quot;* #,##0.00_-;_-&quot;$&quot;* &quot;-&quot;??_-;_-@_-"/>
      <fill>
        <patternFill patternType="solid">
          <fgColor indexed="64"/>
          <bgColor theme="5" tint="0.59999389629810485"/>
        </patternFill>
      </fill>
      <alignment horizontal="center" vertical="center" textRotation="0" wrapText="0" indent="0" justifyLastLine="0" shrinkToFit="0" readingOrder="0"/>
      <border diagonalUp="0" diagonalDown="0" outline="0">
        <left/>
        <right/>
        <top/>
        <bottom/>
      </border>
    </dxf>
    <dxf>
      <fill>
        <patternFill patternType="solid">
          <fgColor indexed="64"/>
          <bgColor theme="0" tint="-4.9989318521683403E-2"/>
        </patternFill>
      </fill>
      <alignment horizontal="left" vertical="center" textRotation="0" wrapText="0" indent="0" justifyLastLine="0" shrinkToFit="0" readingOrder="0"/>
      <border diagonalUp="0" diagonalDown="0" outline="0">
        <left style="thick">
          <color theme="5"/>
        </left>
        <right/>
        <top/>
        <bottom/>
      </border>
    </dxf>
    <dxf>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numFmt numFmtId="164" formatCode="_-&quot;$&quot;* #,##0.00_-;\-&quot;$&quot;* #,##0.00_-;_-&quot;$&quot;* &quot;-&quot;??_-;_-@_-"/>
      <fill>
        <patternFill patternType="solid">
          <fgColor indexed="64"/>
          <bgColor theme="4" tint="0.59999389629810485"/>
        </patternFill>
      </fill>
      <alignment horizontal="center" vertical="center" textRotation="0" wrapText="0" indent="0" justifyLastLine="0" shrinkToFit="0" readingOrder="0"/>
      <border diagonalUp="0" diagonalDown="0" outline="0">
        <left/>
        <right/>
        <top/>
        <bottom/>
      </border>
    </dxf>
    <dxf>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numFmt numFmtId="164" formatCode="_-&quot;$&quot;* #,##0.00_-;\-&quot;$&quot;* #,##0.00_-;_-&quot;$&quot;* &quot;-&quot;??_-;_-@_-"/>
      <fill>
        <patternFill patternType="solid">
          <fgColor indexed="64"/>
          <bgColor theme="4" tint="0.59999389629810485"/>
        </patternFill>
      </fill>
      <alignment horizontal="center" vertical="center" textRotation="0" wrapText="0" indent="0" justifyLastLine="0" shrinkToFit="0" readingOrder="0"/>
      <border diagonalUp="0" diagonalDown="0" outline="0">
        <left/>
        <right/>
        <top/>
        <bottom/>
      </border>
    </dxf>
    <dxf>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numFmt numFmtId="164" formatCode="_-&quot;$&quot;* #,##0.00_-;\-&quot;$&quot;* #,##0.00_-;_-&quot;$&quot;* &quot;-&quot;??_-;_-@_-"/>
      <fill>
        <patternFill patternType="solid">
          <fgColor indexed="64"/>
          <bgColor theme="4" tint="0.59999389629810485"/>
        </patternFill>
      </fill>
      <alignment horizontal="center" vertical="center" textRotation="0" wrapText="0" indent="0" justifyLastLine="0" shrinkToFit="0" readingOrder="0"/>
      <border diagonalUp="0" diagonalDown="0" outline="0">
        <left/>
        <right/>
        <top/>
        <bottom/>
      </border>
    </dxf>
    <dxf>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numFmt numFmtId="164" formatCode="_-&quot;$&quot;* #,##0.00_-;\-&quot;$&quot;* #,##0.00_-;_-&quot;$&quot;* &quot;-&quot;??_-;_-@_-"/>
      <fill>
        <patternFill patternType="solid">
          <fgColor indexed="64"/>
          <bgColor theme="4" tint="0.59999389629810485"/>
        </patternFill>
      </fill>
      <alignment horizontal="center" vertical="center" textRotation="0" wrapText="0" indent="0" justifyLastLine="0" shrinkToFit="0" readingOrder="0"/>
      <border diagonalUp="0" diagonalDown="0" outline="0">
        <left/>
        <right/>
        <top/>
        <bottom/>
      </border>
    </dxf>
    <dxf>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numFmt numFmtId="164" formatCode="_-&quot;$&quot;* #,##0.00_-;\-&quot;$&quot;* #,##0.00_-;_-&quot;$&quot;* &quot;-&quot;??_-;_-@_-"/>
      <fill>
        <patternFill patternType="solid">
          <fgColor indexed="64"/>
          <bgColor theme="4" tint="0.59999389629810485"/>
        </patternFill>
      </fill>
      <alignment horizontal="center" vertical="center" textRotation="0" wrapText="0" indent="0" justifyLastLine="0" shrinkToFit="0" readingOrder="0"/>
      <border diagonalUp="0" diagonalDown="0" outline="0">
        <left/>
        <right/>
        <top/>
        <bottom/>
      </border>
    </dxf>
    <dxf>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numFmt numFmtId="164" formatCode="_-&quot;$&quot;* #,##0.00_-;\-&quot;$&quot;* #,##0.00_-;_-&quot;$&quot;* &quot;-&quot;??_-;_-@_-"/>
      <fill>
        <patternFill patternType="solid">
          <fgColor indexed="64"/>
          <bgColor theme="4" tint="0.59999389629810485"/>
        </patternFill>
      </fill>
      <alignment horizontal="center" vertical="center" textRotation="0" wrapText="0" indent="0" justifyLastLine="0" shrinkToFit="0" readingOrder="0"/>
      <border diagonalUp="0" diagonalDown="0" outline="0">
        <left/>
        <right/>
        <top/>
        <bottom/>
      </border>
    </dxf>
    <dxf>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numFmt numFmtId="164" formatCode="_-&quot;$&quot;* #,##0.00_-;\-&quot;$&quot;* #,##0.00_-;_-&quot;$&quot;* &quot;-&quot;??_-;_-@_-"/>
      <fill>
        <patternFill patternType="solid">
          <fgColor indexed="64"/>
          <bgColor theme="4" tint="0.59999389629810485"/>
        </patternFill>
      </fill>
      <alignment horizontal="center" vertical="center" textRotation="0" wrapText="0" indent="0" justifyLastLine="0" shrinkToFit="0" readingOrder="0"/>
      <border diagonalUp="0" diagonalDown="0" outline="0">
        <left/>
        <right/>
        <top/>
        <bottom/>
      </border>
    </dxf>
    <dxf>
      <fill>
        <patternFill patternType="solid">
          <fgColor indexed="64"/>
          <bgColor theme="0" tint="-4.9989318521683403E-2"/>
        </patternFill>
      </fill>
      <alignment horizontal="left" vertical="center" textRotation="0" wrapText="0" indent="0" justifyLastLine="0" shrinkToFit="0" readingOrder="0"/>
      <border diagonalUp="0" diagonalDown="0" outline="0">
        <left style="thick">
          <color theme="4"/>
        </left>
        <right/>
        <top/>
        <bottom/>
      </border>
    </dxf>
    <dxf>
      <numFmt numFmtId="166" formatCode="#,##0.00\ &quot;€&quo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tint="0.14993743705557422"/>
        <name val="verdana"/>
        <family val="2"/>
        <scheme val="minor"/>
      </font>
      <fill>
        <patternFill patternType="solid">
          <fgColor indexed="64"/>
          <bgColor theme="4" tint="0.79998168889431442"/>
        </patternFill>
      </fill>
      <alignment horizontal="center" vertical="center" textRotation="0" wrapText="0" indent="0" justifyLastLine="0" shrinkToFit="0" readingOrder="0"/>
    </dxf>
    <dxf>
      <font>
        <color theme="1"/>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verdana"/>
        <family val="2"/>
        <scheme val="minor"/>
      </font>
      <fill>
        <patternFill patternType="solid">
          <fgColor indexed="64"/>
          <bgColor theme="4" tint="0.79998168889431442"/>
        </patternFill>
      </fill>
      <alignment horizontal="center" vertical="center" textRotation="0" wrapText="0" indent="0" justifyLastLine="0" shrinkToFit="0" readingOrder="0"/>
    </dxf>
    <dxf>
      <font>
        <color theme="1"/>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verdana"/>
        <family val="2"/>
        <scheme val="minor"/>
      </font>
      <fill>
        <patternFill patternType="solid">
          <fgColor indexed="64"/>
          <bgColor theme="4" tint="0.79998168889431442"/>
        </patternFill>
      </fill>
      <alignment horizontal="center" vertical="center" textRotation="0" wrapText="0" indent="0" justifyLastLine="0" shrinkToFit="0" readingOrder="0"/>
    </dxf>
    <dxf>
      <font>
        <color theme="1"/>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verdana"/>
        <family val="2"/>
        <scheme val="minor"/>
      </font>
      <fill>
        <patternFill patternType="solid">
          <fgColor indexed="64"/>
          <bgColor theme="4" tint="0.79998168889431442"/>
        </patternFill>
      </fill>
      <alignment horizontal="center" vertical="center" textRotation="0" wrapText="0" indent="0" justifyLastLine="0" shrinkToFit="0" readingOrder="0"/>
    </dxf>
    <dxf>
      <font>
        <color theme="1"/>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verdana"/>
        <family val="2"/>
        <scheme val="minor"/>
      </font>
      <fill>
        <patternFill patternType="solid">
          <fgColor indexed="64"/>
          <bgColor theme="4" tint="0.79998168889431442"/>
        </patternFill>
      </fill>
      <alignment horizontal="center" vertical="center" textRotation="0" wrapText="0" indent="0" justifyLastLine="0" shrinkToFit="0" readingOrder="0"/>
    </dxf>
    <dxf>
      <font>
        <color theme="1"/>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verdana"/>
        <family val="2"/>
        <scheme val="minor"/>
      </font>
      <fill>
        <patternFill patternType="solid">
          <fgColor indexed="64"/>
          <bgColor theme="4" tint="0.79998168889431442"/>
        </patternFill>
      </fill>
      <alignment horizontal="center" vertical="center" textRotation="0" wrapText="0" indent="0" justifyLastLine="0" shrinkToFit="0" readingOrder="0"/>
    </dxf>
    <dxf>
      <font>
        <color theme="1"/>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verdana"/>
        <family val="2"/>
        <scheme val="minor"/>
      </font>
      <fill>
        <patternFill patternType="solid">
          <fgColor indexed="64"/>
          <bgColor theme="4" tint="0.79998168889431442"/>
        </patternFill>
      </fill>
      <alignment horizontal="center" vertical="center" textRotation="0" wrapText="0" indent="0" justifyLastLine="0" shrinkToFit="0" readingOrder="0"/>
    </dxf>
    <dxf>
      <fill>
        <patternFill patternType="solid">
          <fgColor indexed="64"/>
          <bgColor theme="0"/>
        </patternFill>
      </fill>
      <alignment horizontal="left" vertical="center" textRotation="0" wrapText="0" indent="0" justifyLastLine="0" shrinkToFit="0" readingOrder="0"/>
    </dxf>
    <dxf>
      <numFmt numFmtId="166" formatCode="#,##0.00\ &quot;€&quo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tint="0.14993743705557422"/>
        <name val="verdana"/>
        <family val="2"/>
        <scheme val="minor"/>
      </font>
      <fill>
        <patternFill patternType="solid">
          <fgColor indexed="64"/>
          <bgColor theme="5"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verdana"/>
        <family val="2"/>
        <scheme val="minor"/>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verdana"/>
        <family val="2"/>
        <scheme val="minor"/>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verdana"/>
        <family val="2"/>
        <scheme val="minor"/>
      </font>
      <fill>
        <patternFill patternType="solid">
          <fgColor indexed="64"/>
          <bgColor theme="5" tint="0.79998168889431442"/>
        </patternFill>
      </fill>
      <alignment horizontal="center" vertical="center" textRotation="0" wrapText="0" indent="0" justifyLastLine="0" shrinkToFit="0" readingOrder="0"/>
      <border diagonalUp="0" diagonalDown="0">
        <left/>
        <right style="medium">
          <color theme="5" tint="0.79998168889431442"/>
        </right>
        <top/>
        <bottom/>
        <vertical/>
        <horizontal/>
      </border>
    </dxf>
    <dxf>
      <font>
        <b val="0"/>
        <i val="0"/>
        <strike val="0"/>
        <condense val="0"/>
        <extend val="0"/>
        <outline val="0"/>
        <shadow val="0"/>
        <u val="none"/>
        <vertAlign val="baseline"/>
        <sz val="10"/>
        <color theme="1"/>
        <name val="verdana"/>
        <family val="2"/>
        <scheme val="minor"/>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verdana"/>
        <family val="2"/>
        <scheme val="minor"/>
      </font>
      <fill>
        <patternFill patternType="solid">
          <fgColor indexed="64"/>
          <bgColor theme="5" tint="0.79998168889431442"/>
        </patternFill>
      </fill>
      <alignment horizontal="center" vertical="center" textRotation="0" wrapText="0" indent="0" justifyLastLine="0" shrinkToFit="0" readingOrder="0"/>
      <border diagonalUp="0" diagonalDown="0">
        <left/>
        <right style="medium">
          <color theme="5" tint="0.79998168889431442"/>
        </right>
        <top/>
        <bottom/>
        <vertical/>
        <horizontal/>
      </border>
    </dxf>
    <dxf>
      <font>
        <b val="0"/>
        <i val="0"/>
        <strike val="0"/>
        <condense val="0"/>
        <extend val="0"/>
        <outline val="0"/>
        <shadow val="0"/>
        <u val="none"/>
        <vertAlign val="baseline"/>
        <sz val="10"/>
        <color theme="1"/>
        <name val="verdana"/>
        <family val="2"/>
        <scheme val="minor"/>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verdana"/>
        <family val="2"/>
        <scheme val="minor"/>
      </font>
      <fill>
        <patternFill patternType="solid">
          <fgColor indexed="64"/>
          <bgColor theme="5" tint="0.79998168889431442"/>
        </patternFill>
      </fill>
      <alignment horizontal="center" vertical="center" textRotation="0" wrapText="0" indent="0" justifyLastLine="0" shrinkToFit="0" readingOrder="0"/>
      <border diagonalUp="0" diagonalDown="0">
        <left/>
        <right style="medium">
          <color theme="5" tint="0.79998168889431442"/>
        </right>
        <top/>
        <bottom/>
        <vertical/>
        <horizontal/>
      </border>
    </dxf>
    <dxf>
      <font>
        <b val="0"/>
        <i val="0"/>
        <strike val="0"/>
        <condense val="0"/>
        <extend val="0"/>
        <outline val="0"/>
        <shadow val="0"/>
        <u val="none"/>
        <vertAlign val="baseline"/>
        <sz val="10"/>
        <color theme="1"/>
        <name val="verdana"/>
        <family val="2"/>
        <scheme val="minor"/>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verdana"/>
        <family val="2"/>
        <scheme val="minor"/>
      </font>
      <fill>
        <patternFill patternType="solid">
          <fgColor indexed="64"/>
          <bgColor theme="5" tint="0.79998168889431442"/>
        </patternFill>
      </fill>
      <alignment horizontal="center" vertical="center" textRotation="0" wrapText="0" indent="0" justifyLastLine="0" shrinkToFit="0" readingOrder="0"/>
      <border diagonalUp="0" diagonalDown="0">
        <left/>
        <right style="medium">
          <color theme="5" tint="0.79998168889431442"/>
        </right>
        <top/>
        <bottom/>
        <vertical/>
        <horizontal/>
      </border>
    </dxf>
    <dxf>
      <font>
        <b val="0"/>
        <i val="0"/>
        <strike val="0"/>
        <condense val="0"/>
        <extend val="0"/>
        <outline val="0"/>
        <shadow val="0"/>
        <u val="none"/>
        <vertAlign val="baseline"/>
        <sz val="10"/>
        <color theme="1"/>
        <name val="verdana"/>
        <family val="2"/>
        <scheme val="minor"/>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verdana"/>
        <family val="2"/>
        <scheme val="minor"/>
      </font>
      <fill>
        <patternFill patternType="solid">
          <fgColor indexed="64"/>
          <bgColor theme="5" tint="0.79998168889431442"/>
        </patternFill>
      </fill>
      <alignment horizontal="center" vertical="center" textRotation="0" wrapText="0" indent="0" justifyLastLine="0" shrinkToFit="0" readingOrder="0"/>
      <border diagonalUp="0" diagonalDown="0">
        <left/>
        <right style="medium">
          <color theme="5" tint="0.79998168889431442"/>
        </right>
        <top/>
        <bottom/>
        <vertical/>
        <horizontal/>
      </border>
    </dxf>
    <dxf>
      <fill>
        <patternFill patternType="solid">
          <fgColor indexed="64"/>
          <bgColor theme="0"/>
        </patternFill>
      </fill>
      <alignment horizontal="left" vertical="center" textRotation="0" wrapText="0" indent="0" justifyLastLine="0" shrinkToFit="0" readingOrder="0"/>
    </dxf>
    <dxf>
      <font>
        <b val="0"/>
        <i val="0"/>
        <strike val="0"/>
        <condense val="0"/>
        <extend val="0"/>
        <outline val="0"/>
        <shadow val="0"/>
        <u val="none"/>
        <vertAlign val="baseline"/>
        <sz val="10"/>
        <color theme="1"/>
        <name val="verdana"/>
        <family val="2"/>
        <scheme val="minor"/>
      </font>
      <fill>
        <patternFill patternType="solid">
          <fgColor indexed="64"/>
          <bgColor theme="5" tint="0.79998168889431442"/>
        </patternFill>
      </fill>
      <alignment horizontal="center" vertical="center" textRotation="0" wrapText="0" indent="0" justifyLastLine="0" shrinkToFit="0" readingOrder="0"/>
      <border diagonalUp="0" diagonalDown="0">
        <left/>
        <right style="medium">
          <color theme="5" tint="0.79998168889431442"/>
        </right>
        <top/>
        <bottom/>
        <vertical/>
        <horizontal/>
      </border>
    </dxf>
    <dxf>
      <font>
        <b val="0"/>
        <i val="0"/>
        <strike val="0"/>
        <condense val="0"/>
        <extend val="0"/>
        <outline val="0"/>
        <shadow val="0"/>
        <u val="none"/>
        <vertAlign val="baseline"/>
        <sz val="10"/>
        <color theme="5" tint="-0.499984740745262"/>
        <name val="verdana"/>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thick">
          <color theme="0"/>
        </bottom>
      </border>
    </dxf>
    <dxf>
      <font>
        <b val="0"/>
        <i val="0"/>
        <strike val="0"/>
        <condense val="0"/>
        <extend val="0"/>
        <outline val="0"/>
        <shadow val="0"/>
        <u val="none"/>
        <vertAlign val="baseline"/>
        <sz val="10"/>
        <color theme="5" tint="-0.499984740745262"/>
        <name val="verdana"/>
        <family val="2"/>
        <scheme val="minor"/>
      </font>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thick">
          <color theme="0"/>
        </bottom>
      </border>
    </dxf>
    <dxf>
      <font>
        <b val="0"/>
        <i val="0"/>
        <strike val="0"/>
        <condense val="0"/>
        <extend val="0"/>
        <outline val="0"/>
        <shadow val="0"/>
        <u val="none"/>
        <vertAlign val="baseline"/>
        <sz val="10"/>
        <color theme="5" tint="-0.499984740745262"/>
        <name val="verdana"/>
        <family val="2"/>
        <scheme val="minor"/>
      </font>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thick">
          <color theme="0"/>
        </bottom>
      </border>
    </dxf>
    <dxf>
      <font>
        <b val="0"/>
        <i val="0"/>
        <strike val="0"/>
        <condense val="0"/>
        <extend val="0"/>
        <outline val="0"/>
        <shadow val="0"/>
        <u val="none"/>
        <vertAlign val="baseline"/>
        <sz val="10"/>
        <color theme="5" tint="-0.499984740745262"/>
        <name val="verdana"/>
        <family val="2"/>
        <scheme val="minor"/>
      </font>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thick">
          <color theme="0"/>
        </bottom>
      </border>
    </dxf>
    <dxf>
      <font>
        <b val="0"/>
        <i val="0"/>
        <strike val="0"/>
        <condense val="0"/>
        <extend val="0"/>
        <outline val="0"/>
        <shadow val="0"/>
        <u val="none"/>
        <vertAlign val="baseline"/>
        <sz val="10"/>
        <color theme="5" tint="-0.499984740745262"/>
        <name val="verdana"/>
        <family val="2"/>
        <scheme val="minor"/>
      </font>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thick">
          <color theme="0"/>
        </bottom>
      </border>
    </dxf>
    <dxf>
      <font>
        <b val="0"/>
        <i val="0"/>
        <strike val="0"/>
        <condense val="0"/>
        <extend val="0"/>
        <outline val="0"/>
        <shadow val="0"/>
        <u val="none"/>
        <vertAlign val="baseline"/>
        <sz val="10"/>
        <color theme="5" tint="-0.499984740745262"/>
        <name val="verdana"/>
        <family val="2"/>
        <scheme val="minor"/>
      </font>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thick">
          <color theme="0"/>
        </bottom>
      </border>
    </dxf>
    <dxf>
      <font>
        <b val="0"/>
        <i val="0"/>
        <strike val="0"/>
        <condense val="0"/>
        <extend val="0"/>
        <outline val="0"/>
        <shadow val="0"/>
        <u val="none"/>
        <vertAlign val="baseline"/>
        <sz val="10"/>
        <color theme="5" tint="-0.499984740745262"/>
        <name val="verdana"/>
        <family val="2"/>
        <scheme val="minor"/>
      </font>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thick">
          <color theme="0"/>
        </bottom>
      </border>
    </dxf>
    <dxf>
      <font>
        <b val="0"/>
        <i val="0"/>
        <strike val="0"/>
        <condense val="0"/>
        <extend val="0"/>
        <outline val="0"/>
        <shadow val="0"/>
        <u val="none"/>
        <vertAlign val="baseline"/>
        <sz val="10"/>
        <color theme="5" tint="-0.499984740745262"/>
        <name val="verdana"/>
        <family val="2"/>
        <scheme val="minor"/>
      </font>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thick">
          <color theme="0"/>
        </bottom>
      </border>
    </dxf>
    <dxf>
      <font>
        <b val="0"/>
        <i val="0"/>
        <strike val="0"/>
        <condense val="0"/>
        <extend val="0"/>
        <outline val="0"/>
        <shadow val="0"/>
        <u val="none"/>
        <vertAlign val="baseline"/>
        <sz val="10"/>
        <color theme="5" tint="-0.499984740745262"/>
        <name val="verdana"/>
        <family val="2"/>
        <scheme val="minor"/>
      </font>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thick">
          <color theme="0"/>
        </bottom>
      </border>
    </dxf>
    <dxf>
      <font>
        <b val="0"/>
        <i val="0"/>
        <strike val="0"/>
        <condense val="0"/>
        <extend val="0"/>
        <outline val="0"/>
        <shadow val="0"/>
        <u val="none"/>
        <vertAlign val="baseline"/>
        <sz val="10"/>
        <color theme="5" tint="-0.499984740745262"/>
        <name val="verdana"/>
        <family val="2"/>
        <scheme val="minor"/>
      </font>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thick">
          <color theme="0"/>
        </bottom>
      </border>
    </dxf>
    <dxf>
      <font>
        <b val="0"/>
        <i val="0"/>
        <strike val="0"/>
        <condense val="0"/>
        <extend val="0"/>
        <outline val="0"/>
        <shadow val="0"/>
        <u val="none"/>
        <vertAlign val="baseline"/>
        <sz val="10"/>
        <color theme="5" tint="-0.499984740745262"/>
        <name val="verdana"/>
        <family val="2"/>
        <scheme val="minor"/>
      </font>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thick">
          <color theme="0"/>
        </bottom>
      </border>
    </dxf>
    <dxf>
      <font>
        <b val="0"/>
        <i val="0"/>
        <strike val="0"/>
        <condense val="0"/>
        <extend val="0"/>
        <outline val="0"/>
        <shadow val="0"/>
        <u val="none"/>
        <vertAlign val="baseline"/>
        <sz val="10"/>
        <color theme="5" tint="-0.499984740745262"/>
        <name val="verdana"/>
        <family val="2"/>
        <scheme val="minor"/>
      </font>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thick">
          <color theme="0"/>
        </bottom>
      </border>
    </dxf>
    <dxf>
      <font>
        <b val="0"/>
        <i val="0"/>
        <strike val="0"/>
        <condense val="0"/>
        <extend val="0"/>
        <outline val="0"/>
        <shadow val="0"/>
        <u val="none"/>
        <vertAlign val="baseline"/>
        <sz val="10"/>
        <color theme="5" tint="-0.499984740745262"/>
        <name val="verdana"/>
        <family val="2"/>
        <scheme val="minor"/>
      </font>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thick">
          <color theme="0"/>
        </bottom>
      </border>
    </dxf>
    <dxf>
      <font>
        <b val="0"/>
        <i val="0"/>
        <strike val="0"/>
        <condense val="0"/>
        <extend val="0"/>
        <outline val="0"/>
        <shadow val="0"/>
        <u val="none"/>
        <vertAlign val="baseline"/>
        <sz val="10"/>
        <color theme="5" tint="-0.499984740745262"/>
        <name val="verdana"/>
        <family val="2"/>
        <scheme val="minor"/>
      </font>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thick">
          <color theme="0"/>
        </bottom>
      </border>
    </dxf>
    <dxf>
      <font>
        <b val="0"/>
        <i val="0"/>
        <strike val="0"/>
        <condense val="0"/>
        <extend val="0"/>
        <outline val="0"/>
        <shadow val="0"/>
        <u val="none"/>
        <vertAlign val="baseline"/>
        <sz val="10"/>
        <color theme="5" tint="-0.499984740745262"/>
        <name val="verdana"/>
        <family val="2"/>
        <scheme val="minor"/>
      </font>
      <fill>
        <patternFill patternType="solid">
          <fgColor indexed="64"/>
          <bgColor theme="0" tint="-4.9989318521683403E-2"/>
        </patternFill>
      </fill>
      <alignment horizontal="left" vertical="center" textRotation="0" wrapText="0" indent="0" justifyLastLine="0" shrinkToFit="0" readingOrder="0"/>
      <border diagonalUp="0" diagonalDown="0" outline="0">
        <left style="thin">
          <color theme="5"/>
        </left>
        <right/>
        <top/>
        <bottom/>
      </border>
    </dxf>
    <dxf>
      <font>
        <color rgb="FF9C0006"/>
      </font>
    </dxf>
    <dxf>
      <font>
        <color rgb="FF9C0006"/>
      </font>
    </dxf>
    <dxf>
      <font>
        <color rgb="FF9C0006"/>
      </font>
    </dxf>
    <dxf>
      <font>
        <color rgb="FF9C0006"/>
      </font>
    </dxf>
    <dxf>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numFmt numFmtId="164" formatCode="_-&quot;$&quot;* #,##0.00_-;\-&quot;$&quot;* #,##0.00_-;_-&quot;$&quot;* &quot;-&quot;??_-;_-@_-"/>
      <fill>
        <patternFill patternType="solid">
          <fgColor indexed="64"/>
          <bgColor theme="4" tint="0.59999389629810485"/>
        </patternFill>
      </fill>
      <alignment horizontal="center" vertical="center" textRotation="0" wrapText="0" indent="0" justifyLastLine="0" shrinkToFit="0" readingOrder="0"/>
      <border diagonalUp="0" diagonalDown="0" outline="0">
        <left/>
        <right/>
        <top/>
        <bottom/>
      </border>
    </dxf>
    <dxf>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numFmt numFmtId="164" formatCode="_-&quot;$&quot;* #,##0.00_-;\-&quot;$&quot;* #,##0.00_-;_-&quot;$&quot;* &quot;-&quot;??_-;_-@_-"/>
      <fill>
        <patternFill patternType="solid">
          <fgColor indexed="64"/>
          <bgColor theme="4" tint="0.59999389629810485"/>
        </patternFill>
      </fill>
      <alignment horizontal="center" vertical="center" textRotation="0" wrapText="0" indent="0" justifyLastLine="0" shrinkToFit="0" readingOrder="0"/>
      <border diagonalUp="0" diagonalDown="0" outline="0">
        <left/>
        <right/>
        <top/>
        <bottom/>
      </border>
    </dxf>
    <dxf>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numFmt numFmtId="164" formatCode="_-&quot;$&quot;* #,##0.00_-;\-&quot;$&quot;* #,##0.00_-;_-&quot;$&quot;* &quot;-&quot;??_-;_-@_-"/>
      <fill>
        <patternFill patternType="solid">
          <fgColor indexed="64"/>
          <bgColor theme="4" tint="0.59999389629810485"/>
        </patternFill>
      </fill>
      <alignment horizontal="center" vertical="center" textRotation="0" wrapText="0" indent="0" justifyLastLine="0" shrinkToFit="0" readingOrder="0"/>
      <border diagonalUp="0" diagonalDown="0" outline="0">
        <left/>
        <right/>
        <top/>
        <bottom/>
      </border>
    </dxf>
    <dxf>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numFmt numFmtId="164" formatCode="_-&quot;$&quot;* #,##0.00_-;\-&quot;$&quot;* #,##0.00_-;_-&quot;$&quot;* &quot;-&quot;??_-;_-@_-"/>
      <fill>
        <patternFill patternType="solid">
          <fgColor indexed="64"/>
          <bgColor theme="4" tint="0.59999389629810485"/>
        </patternFill>
      </fill>
      <alignment horizontal="center" vertical="center" textRotation="0" wrapText="0" indent="0" justifyLastLine="0" shrinkToFit="0" readingOrder="0"/>
      <border diagonalUp="0" diagonalDown="0" outline="0">
        <left/>
        <right/>
        <top/>
        <bottom/>
      </border>
    </dxf>
    <dxf>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numFmt numFmtId="164" formatCode="_-&quot;$&quot;* #,##0.00_-;\-&quot;$&quot;* #,##0.00_-;_-&quot;$&quot;* &quot;-&quot;??_-;_-@_-"/>
      <fill>
        <patternFill patternType="solid">
          <fgColor indexed="64"/>
          <bgColor theme="4" tint="0.59999389629810485"/>
        </patternFill>
      </fill>
      <alignment horizontal="center" vertical="center" textRotation="0" wrapText="0" indent="0" justifyLastLine="0" shrinkToFit="0" readingOrder="0"/>
      <border diagonalUp="0" diagonalDown="0" outline="0">
        <left/>
        <right/>
        <top/>
        <bottom/>
      </border>
    </dxf>
    <dxf>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numFmt numFmtId="164" formatCode="_-&quot;$&quot;* #,##0.00_-;\-&quot;$&quot;* #,##0.00_-;_-&quot;$&quot;* &quot;-&quot;??_-;_-@_-"/>
      <fill>
        <patternFill patternType="solid">
          <fgColor indexed="64"/>
          <bgColor theme="4" tint="0.59999389629810485"/>
        </patternFill>
      </fill>
      <alignment horizontal="center" vertical="center" textRotation="0" wrapText="0" indent="0" justifyLastLine="0" shrinkToFit="0" readingOrder="0"/>
      <border diagonalUp="0" diagonalDown="0" outline="0">
        <left/>
        <right/>
        <top/>
        <bottom/>
      </border>
    </dxf>
    <dxf>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numFmt numFmtId="164" formatCode="_-&quot;$&quot;* #,##0.00_-;\-&quot;$&quot;* #,##0.00_-;_-&quot;$&quot;* &quot;-&quot;??_-;_-@_-"/>
      <fill>
        <patternFill patternType="solid">
          <fgColor indexed="64"/>
          <bgColor theme="4" tint="0.59999389629810485"/>
        </patternFill>
      </fill>
      <alignment horizontal="center" vertical="center" textRotation="0" wrapText="0" indent="0" justifyLastLine="0" shrinkToFit="0" readingOrder="0"/>
      <border diagonalUp="0" diagonalDown="0" outline="0">
        <left/>
        <right/>
        <top/>
        <bottom/>
      </border>
    </dxf>
    <dxf>
      <fill>
        <patternFill patternType="solid">
          <fgColor indexed="64"/>
          <bgColor theme="0" tint="-4.9989318521683403E-2"/>
        </patternFill>
      </fill>
      <alignment horizontal="left" vertical="center" textRotation="0" wrapText="0" indent="0" justifyLastLine="0" shrinkToFit="0" readingOrder="0"/>
      <border diagonalUp="0" diagonalDown="0" outline="0">
        <left style="thick">
          <color theme="4"/>
        </left>
        <right/>
        <top/>
        <bottom/>
      </border>
    </dxf>
    <dxf>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5" tint="0.5999938962981048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5" tint="0.5999938962981048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5" tint="0.5999938962981048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5" tint="0.5999938962981048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5" tint="0.5999938962981048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5" tint="0.5999938962981048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5" tint="0.59999389629810485"/>
        </patternFill>
      </fill>
      <alignment horizontal="center" vertical="center" textRotation="0" wrapText="0" indent="0" justifyLastLine="0" shrinkToFit="0" readingOrder="0"/>
      <border diagonalUp="0" diagonalDown="0" outline="0">
        <left/>
        <right/>
        <top/>
        <bottom/>
      </border>
    </dxf>
    <dxf>
      <fill>
        <patternFill patternType="solid">
          <fgColor indexed="64"/>
          <bgColor theme="0" tint="-4.9989318521683403E-2"/>
        </patternFill>
      </fill>
      <alignment horizontal="left" vertical="center" textRotation="0" wrapText="0" indent="0" justifyLastLine="0" shrinkToFit="0" readingOrder="0"/>
      <border diagonalUp="0" diagonalDown="0" outline="0">
        <left style="thick">
          <color theme="5"/>
        </left>
        <right/>
        <top/>
        <bottom/>
      </border>
    </dxf>
    <dxf>
      <numFmt numFmtId="166" formatCode="#,##0.00\ &quot;€&quot;"/>
      <fill>
        <patternFill patternType="solid">
          <fgColor indexed="64"/>
          <bgColor theme="0"/>
        </patternFill>
      </fill>
      <alignment horizontal="center" vertical="center" textRotation="0" wrapText="0" indent="0" justifyLastLine="0" shrinkToFit="0" readingOrder="0"/>
    </dxf>
    <dxf>
      <fill>
        <patternFill patternType="solid">
          <fgColor indexed="64"/>
          <bgColor theme="4"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verdana"/>
        <family val="2"/>
        <scheme val="minor"/>
      </font>
      <fill>
        <patternFill patternType="solid">
          <fgColor indexed="64"/>
          <bgColor theme="0"/>
        </patternFill>
      </fill>
      <alignment horizontal="center" vertical="center" textRotation="0" wrapText="0" indent="0" justifyLastLine="0" shrinkToFit="0" readingOrder="0"/>
    </dxf>
    <dxf>
      <font>
        <color theme="1"/>
      </font>
      <fill>
        <patternFill patternType="solid">
          <fgColor indexed="64"/>
          <bgColor theme="4"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verdana"/>
        <family val="2"/>
        <scheme val="minor"/>
      </font>
      <fill>
        <patternFill patternType="solid">
          <fgColor indexed="64"/>
          <bgColor theme="0"/>
        </patternFill>
      </fill>
      <alignment horizontal="center" vertical="center" textRotation="0" wrapText="0" indent="0" justifyLastLine="0" shrinkToFit="0" readingOrder="0"/>
    </dxf>
    <dxf>
      <font>
        <color theme="1"/>
      </font>
      <fill>
        <patternFill patternType="solid">
          <fgColor indexed="64"/>
          <bgColor theme="4"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verdana"/>
        <family val="2"/>
        <scheme val="minor"/>
      </font>
      <fill>
        <patternFill patternType="solid">
          <fgColor indexed="64"/>
          <bgColor theme="0"/>
        </patternFill>
      </fill>
      <alignment horizontal="center" vertical="center" textRotation="0" wrapText="0" indent="0" justifyLastLine="0" shrinkToFit="0" readingOrder="0"/>
    </dxf>
    <dxf>
      <font>
        <color theme="1"/>
      </font>
      <fill>
        <patternFill patternType="solid">
          <fgColor indexed="64"/>
          <bgColor theme="4"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verdana"/>
        <family val="2"/>
        <scheme val="minor"/>
      </font>
      <fill>
        <patternFill patternType="solid">
          <fgColor indexed="64"/>
          <bgColor theme="0"/>
        </patternFill>
      </fill>
      <alignment horizontal="center" vertical="center" textRotation="0" wrapText="0" indent="0" justifyLastLine="0" shrinkToFit="0" readingOrder="0"/>
    </dxf>
    <dxf>
      <font>
        <color theme="1"/>
      </font>
      <fill>
        <patternFill patternType="solid">
          <fgColor indexed="64"/>
          <bgColor theme="4"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verdana"/>
        <family val="2"/>
        <scheme val="minor"/>
      </font>
      <fill>
        <patternFill patternType="solid">
          <fgColor indexed="64"/>
          <bgColor theme="0"/>
        </patternFill>
      </fill>
      <alignment horizontal="center" vertical="center" textRotation="0" wrapText="0" indent="0" justifyLastLine="0" shrinkToFit="0" readingOrder="0"/>
    </dxf>
    <dxf>
      <font>
        <color theme="1"/>
      </font>
      <fill>
        <patternFill patternType="solid">
          <fgColor indexed="64"/>
          <bgColor theme="4"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verdana"/>
        <family val="2"/>
        <scheme val="minor"/>
      </font>
      <fill>
        <patternFill patternType="solid">
          <fgColor indexed="64"/>
          <bgColor theme="0"/>
        </patternFill>
      </fill>
      <alignment horizontal="center" vertical="center" textRotation="0" wrapText="0" indent="0" justifyLastLine="0" shrinkToFit="0" readingOrder="0"/>
    </dxf>
    <dxf>
      <font>
        <color theme="1"/>
      </font>
      <fill>
        <patternFill patternType="solid">
          <fgColor indexed="64"/>
          <bgColor theme="4" tint="0.79998168889431442"/>
        </patternFill>
      </fill>
      <alignment horizontal="center" vertical="center" textRotation="0" wrapText="0" indent="0" justifyLastLine="0" shrinkToFit="0" readingOrder="0"/>
    </dxf>
    <dxf>
      <fill>
        <patternFill patternType="solid">
          <fgColor indexed="64"/>
          <bgColor theme="0"/>
        </patternFill>
      </fill>
      <alignment horizontal="left" vertical="center" textRotation="0" wrapText="0" indent="0" justifyLastLine="0" shrinkToFit="0" readingOrder="0"/>
    </dxf>
    <dxf>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numFmt numFmtId="164" formatCode="_-&quot;$&quot;* #,##0.00_-;\-&quot;$&quot;* #,##0.00_-;_-&quot;$&quot;* &quot;-&quot;??_-;_-@_-"/>
      <fill>
        <patternFill patternType="solid">
          <fgColor indexed="64"/>
          <bgColor theme="4" tint="0.59999389629810485"/>
        </patternFill>
      </fill>
      <alignment horizontal="center" vertical="center" textRotation="0" wrapText="0" indent="0" justifyLastLine="0" shrinkToFit="0" readingOrder="0"/>
      <border diagonalUp="0" diagonalDown="0" outline="0">
        <left/>
        <right/>
        <top/>
        <bottom/>
      </border>
    </dxf>
    <dxf>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numFmt numFmtId="164" formatCode="_-&quot;$&quot;* #,##0.00_-;\-&quot;$&quot;* #,##0.00_-;_-&quot;$&quot;* &quot;-&quot;??_-;_-@_-"/>
      <fill>
        <patternFill patternType="solid">
          <fgColor indexed="64"/>
          <bgColor theme="4" tint="0.59999389629810485"/>
        </patternFill>
      </fill>
      <alignment horizontal="center" vertical="center" textRotation="0" wrapText="0" indent="0" justifyLastLine="0" shrinkToFit="0" readingOrder="0"/>
      <border diagonalUp="0" diagonalDown="0" outline="0">
        <left/>
        <right/>
        <top/>
        <bottom/>
      </border>
    </dxf>
    <dxf>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numFmt numFmtId="164" formatCode="_-&quot;$&quot;* #,##0.00_-;\-&quot;$&quot;* #,##0.00_-;_-&quot;$&quot;* &quot;-&quot;??_-;_-@_-"/>
      <fill>
        <patternFill patternType="solid">
          <fgColor indexed="64"/>
          <bgColor theme="4" tint="0.59999389629810485"/>
        </patternFill>
      </fill>
      <alignment horizontal="center" vertical="center" textRotation="0" wrapText="0" indent="0" justifyLastLine="0" shrinkToFit="0" readingOrder="0"/>
      <border diagonalUp="0" diagonalDown="0" outline="0">
        <left/>
        <right/>
        <top/>
        <bottom/>
      </border>
    </dxf>
    <dxf>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numFmt numFmtId="164" formatCode="_-&quot;$&quot;* #,##0.00_-;\-&quot;$&quot;* #,##0.00_-;_-&quot;$&quot;* &quot;-&quot;??_-;_-@_-"/>
      <fill>
        <patternFill patternType="solid">
          <fgColor indexed="64"/>
          <bgColor theme="4" tint="0.59999389629810485"/>
        </patternFill>
      </fill>
      <alignment horizontal="center" vertical="center" textRotation="0" wrapText="0" indent="0" justifyLastLine="0" shrinkToFit="0" readingOrder="0"/>
      <border diagonalUp="0" diagonalDown="0" outline="0">
        <left/>
        <right/>
        <top/>
        <bottom/>
      </border>
    </dxf>
    <dxf>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numFmt numFmtId="164" formatCode="_-&quot;$&quot;* #,##0.00_-;\-&quot;$&quot;* #,##0.00_-;_-&quot;$&quot;* &quot;-&quot;??_-;_-@_-"/>
      <fill>
        <patternFill patternType="solid">
          <fgColor indexed="64"/>
          <bgColor theme="4" tint="0.59999389629810485"/>
        </patternFill>
      </fill>
      <alignment horizontal="center" vertical="center" textRotation="0" wrapText="0" indent="0" justifyLastLine="0" shrinkToFit="0" readingOrder="0"/>
      <border diagonalUp="0" diagonalDown="0" outline="0">
        <left/>
        <right/>
        <top/>
        <bottom/>
      </border>
    </dxf>
    <dxf>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numFmt numFmtId="164" formatCode="_-&quot;$&quot;* #,##0.00_-;\-&quot;$&quot;* #,##0.00_-;_-&quot;$&quot;* &quot;-&quot;??_-;_-@_-"/>
      <fill>
        <patternFill patternType="solid">
          <fgColor indexed="64"/>
          <bgColor theme="4" tint="0.59999389629810485"/>
        </patternFill>
      </fill>
      <alignment horizontal="center" vertical="center" textRotation="0" wrapText="0" indent="0" justifyLastLine="0" shrinkToFit="0" readingOrder="0"/>
      <border diagonalUp="0" diagonalDown="0" outline="0">
        <left/>
        <right/>
        <top/>
        <bottom/>
      </border>
    </dxf>
    <dxf>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numFmt numFmtId="164" formatCode="_-&quot;$&quot;* #,##0.00_-;\-&quot;$&quot;* #,##0.00_-;_-&quot;$&quot;* &quot;-&quot;??_-;_-@_-"/>
      <fill>
        <patternFill patternType="solid">
          <fgColor indexed="64"/>
          <bgColor theme="4" tint="0.59999389629810485"/>
        </patternFill>
      </fill>
      <alignment horizontal="center" vertical="center" textRotation="0" wrapText="0" indent="0" justifyLastLine="0" shrinkToFit="0" readingOrder="0"/>
      <border diagonalUp="0" diagonalDown="0" outline="0">
        <left/>
        <right/>
        <top/>
        <bottom/>
      </border>
    </dxf>
    <dxf>
      <fill>
        <patternFill patternType="solid">
          <fgColor indexed="64"/>
          <bgColor theme="0" tint="-4.9989318521683403E-2"/>
        </patternFill>
      </fill>
      <alignment horizontal="left" vertical="center" textRotation="0" wrapText="0" indent="0" justifyLastLine="0" shrinkToFit="0" readingOrder="0"/>
      <border diagonalUp="0" diagonalDown="0" outline="0">
        <left style="thick">
          <color theme="4"/>
        </left>
        <right/>
        <top/>
        <bottom/>
      </border>
    </dxf>
    <dxf>
      <font>
        <color theme="0"/>
      </font>
      <numFmt numFmtId="166" formatCode="#,##0.00\ &quot;€&quo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5" tint="-0.499984740745262"/>
        <name val="verdana"/>
        <family val="2"/>
        <scheme val="minor"/>
      </font>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0"/>
        <color auto="1"/>
        <name val="verdana"/>
        <scheme val="minor"/>
      </font>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0"/>
        <color auto="1"/>
        <name val="verdana"/>
        <scheme val="minor"/>
      </font>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0"/>
        <color auto="1"/>
        <name val="verdana"/>
        <scheme val="minor"/>
      </font>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0"/>
        <color auto="1"/>
        <name val="verdana"/>
        <scheme val="minor"/>
      </font>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0"/>
        <color auto="1"/>
        <name val="verdana"/>
        <scheme val="minor"/>
      </font>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0"/>
        <color auto="1"/>
        <name val="verdana"/>
        <scheme val="minor"/>
      </font>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0"/>
        <color auto="1"/>
        <name val="verdana"/>
        <scheme val="minor"/>
      </font>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0"/>
        <color auto="1"/>
        <name val="verdana"/>
        <scheme val="minor"/>
      </font>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0"/>
        <color auto="1"/>
        <name val="verdana"/>
        <scheme val="minor"/>
      </font>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0"/>
        <color auto="1"/>
        <name val="verdana"/>
        <scheme val="minor"/>
      </font>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0"/>
        <color auto="1"/>
        <name val="verdana"/>
        <scheme val="minor"/>
      </font>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0"/>
        <color auto="1"/>
        <name val="verdana"/>
        <scheme val="minor"/>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5" tint="-0.499984740745262"/>
        <name val="verdana"/>
        <family val="2"/>
        <scheme val="minor"/>
      </font>
      <fill>
        <patternFill patternType="solid">
          <fgColor indexed="64"/>
          <bgColor theme="0"/>
        </patternFill>
      </fill>
      <alignment horizontal="left" vertical="center" textRotation="0" wrapText="0" indent="0" justifyLastLine="0" shrinkToFit="0" readingOrder="0"/>
    </dxf>
    <dxf>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4" tint="0.5999938962981048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4" tint="0.5999938962981048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4" tint="0.5999938962981048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4" tint="0.5999938962981048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4" tint="0.5999938962981048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4" tint="0.5999938962981048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4" tint="0.59999389629810485"/>
        </patternFill>
      </fill>
      <alignment horizontal="center" vertical="center" textRotation="0" wrapText="0" indent="0" justifyLastLine="0" shrinkToFit="0" readingOrder="0"/>
      <border diagonalUp="0" diagonalDown="0" outline="0">
        <left/>
        <right/>
        <top/>
        <bottom/>
      </border>
    </dxf>
    <dxf>
      <fill>
        <patternFill patternType="solid">
          <fgColor indexed="64"/>
          <bgColor theme="0" tint="-4.9989318521683403E-2"/>
        </patternFill>
      </fill>
      <alignment horizontal="left" vertical="center" textRotation="0" wrapText="0" indent="0" justifyLastLine="0" shrinkToFit="0" readingOrder="0"/>
      <border diagonalUp="0" diagonalDown="0" outline="0">
        <left style="thick">
          <color theme="4"/>
        </left>
        <right/>
        <top/>
        <bottom/>
      </border>
    </dxf>
    <dxf>
      <numFmt numFmtId="166" formatCode="#,##0.00\ &quot;€&quo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tint="0.14993743705557422"/>
        <name val="verdana"/>
        <family val="2"/>
        <scheme val="minor"/>
      </font>
      <fill>
        <patternFill patternType="solid">
          <fgColor indexed="64"/>
          <bgColor theme="4" tint="0.79998168889431442"/>
        </patternFill>
      </fill>
      <alignment horizontal="center" vertical="center" textRotation="0" wrapText="0" indent="0" justifyLastLine="0" shrinkToFit="0" readingOrder="0"/>
    </dxf>
    <dxf>
      <font>
        <color theme="1"/>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verdana"/>
        <family val="2"/>
        <scheme val="minor"/>
      </font>
      <fill>
        <patternFill patternType="solid">
          <fgColor indexed="64"/>
          <bgColor theme="4" tint="0.79998168889431442"/>
        </patternFill>
      </fill>
      <alignment horizontal="center" vertical="center" textRotation="0" wrapText="0" indent="0" justifyLastLine="0" shrinkToFit="0" readingOrder="0"/>
    </dxf>
    <dxf>
      <font>
        <color theme="1"/>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verdana"/>
        <family val="2"/>
        <scheme val="minor"/>
      </font>
      <fill>
        <patternFill patternType="solid">
          <fgColor indexed="64"/>
          <bgColor theme="4" tint="0.79998168889431442"/>
        </patternFill>
      </fill>
      <alignment horizontal="center" vertical="center" textRotation="0" wrapText="0" indent="0" justifyLastLine="0" shrinkToFit="0" readingOrder="0"/>
    </dxf>
    <dxf>
      <font>
        <color theme="1"/>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verdana"/>
        <family val="2"/>
        <scheme val="minor"/>
      </font>
      <fill>
        <patternFill patternType="solid">
          <fgColor indexed="64"/>
          <bgColor theme="4" tint="0.79998168889431442"/>
        </patternFill>
      </fill>
      <alignment horizontal="center" vertical="center" textRotation="0" wrapText="0" indent="0" justifyLastLine="0" shrinkToFit="0" readingOrder="0"/>
    </dxf>
    <dxf>
      <font>
        <color theme="1"/>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verdana"/>
        <family val="2"/>
        <scheme val="minor"/>
      </font>
      <fill>
        <patternFill patternType="solid">
          <fgColor indexed="64"/>
          <bgColor theme="4" tint="0.79998168889431442"/>
        </patternFill>
      </fill>
      <alignment horizontal="center" vertical="center" textRotation="0" wrapText="0" indent="0" justifyLastLine="0" shrinkToFit="0" readingOrder="0"/>
    </dxf>
    <dxf>
      <font>
        <color theme="1"/>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verdana"/>
        <family val="2"/>
        <scheme val="minor"/>
      </font>
      <fill>
        <patternFill patternType="solid">
          <fgColor indexed="64"/>
          <bgColor theme="4" tint="0.79998168889431442"/>
        </patternFill>
      </fill>
      <alignment horizontal="center" vertical="center" textRotation="0" wrapText="0" indent="0" justifyLastLine="0" shrinkToFit="0" readingOrder="0"/>
    </dxf>
    <dxf>
      <font>
        <color theme="1"/>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verdana"/>
        <family val="2"/>
        <scheme val="minor"/>
      </font>
      <fill>
        <patternFill patternType="solid">
          <fgColor indexed="64"/>
          <bgColor theme="4" tint="0.79998168889431442"/>
        </patternFill>
      </fill>
      <alignment horizontal="center" vertical="center" textRotation="0" wrapText="0" indent="0" justifyLastLine="0" shrinkToFit="0" readingOrder="0"/>
    </dxf>
    <dxf>
      <fill>
        <patternFill patternType="solid">
          <fgColor indexed="64"/>
          <bgColor theme="0"/>
        </patternFill>
      </fill>
      <alignment horizontal="left" vertical="center" textRotation="0" wrapText="0" indent="0" justifyLastLine="0" shrinkToFit="0" readingOrder="0"/>
    </dxf>
    <dxf>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5" tint="0.5999938962981048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5" tint="0.5999938962981048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5" tint="0.5999938962981048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5" tint="0.5999938962981048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5" tint="0.5999938962981048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5" tint="0.5999938962981048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5" tint="0.59999389629810485"/>
        </patternFill>
      </fill>
      <alignment horizontal="center" vertical="center" textRotation="0" wrapText="0" indent="0" justifyLastLine="0" shrinkToFit="0" readingOrder="0"/>
      <border diagonalUp="0" diagonalDown="0" outline="0">
        <left/>
        <right/>
        <top/>
        <bottom/>
      </border>
    </dxf>
    <dxf>
      <fill>
        <patternFill patternType="solid">
          <fgColor indexed="64"/>
          <bgColor theme="0" tint="-4.9989318521683403E-2"/>
        </patternFill>
      </fill>
      <alignment horizontal="left" vertical="center" textRotation="0" wrapText="0" indent="0" justifyLastLine="0" shrinkToFit="0" readingOrder="0"/>
      <border diagonalUp="0" diagonalDown="0" outline="0">
        <left style="thick">
          <color theme="5"/>
        </left>
        <right/>
        <top/>
        <bottom/>
      </border>
    </dxf>
    <dxf>
      <numFmt numFmtId="166" formatCode="#,##0.00\ &quot;€&quo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tint="0.14993743705557422"/>
        <name val="verdana"/>
        <family val="2"/>
        <scheme val="minor"/>
      </font>
      <fill>
        <patternFill patternType="solid">
          <fgColor indexed="64"/>
          <bgColor theme="5" tint="0.79998168889431442"/>
        </patternFill>
      </fill>
      <alignment horizontal="center" vertical="center" textRotation="0" wrapText="0" indent="0" justifyLastLine="0" shrinkToFit="0" readingOrder="0"/>
    </dxf>
    <dxf>
      <font>
        <color theme="1"/>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verdana"/>
        <family val="2"/>
        <scheme val="minor"/>
      </font>
      <fill>
        <patternFill patternType="solid">
          <fgColor indexed="64"/>
          <bgColor theme="5" tint="0.79998168889431442"/>
        </patternFill>
      </fill>
      <alignment horizontal="center" vertical="center" textRotation="0" wrapText="0" indent="0" justifyLastLine="0" shrinkToFit="0" readingOrder="0"/>
      <border diagonalUp="0" diagonalDown="0">
        <left/>
        <right style="medium">
          <color theme="5" tint="0.79998168889431442"/>
        </right>
        <top/>
        <bottom/>
        <vertical/>
        <horizontal/>
      </border>
    </dxf>
    <dxf>
      <font>
        <color theme="1"/>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verdana"/>
        <family val="2"/>
        <scheme val="minor"/>
      </font>
      <fill>
        <patternFill patternType="solid">
          <fgColor indexed="64"/>
          <bgColor theme="5" tint="0.79998168889431442"/>
        </patternFill>
      </fill>
      <alignment horizontal="center" vertical="center" textRotation="0" wrapText="0" indent="0" justifyLastLine="0" shrinkToFit="0" readingOrder="0"/>
      <border diagonalUp="0" diagonalDown="0">
        <left/>
        <right style="medium">
          <color theme="5" tint="0.79998168889431442"/>
        </right>
        <top/>
        <bottom/>
        <vertical/>
        <horizontal/>
      </border>
    </dxf>
    <dxf>
      <font>
        <color theme="1"/>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verdana"/>
        <family val="2"/>
        <scheme val="minor"/>
      </font>
      <fill>
        <patternFill patternType="solid">
          <fgColor indexed="64"/>
          <bgColor theme="5" tint="0.79998168889431442"/>
        </patternFill>
      </fill>
      <alignment horizontal="center" vertical="center" textRotation="0" wrapText="0" indent="0" justifyLastLine="0" shrinkToFit="0" readingOrder="0"/>
      <border diagonalUp="0" diagonalDown="0">
        <left/>
        <right style="medium">
          <color theme="5" tint="0.79998168889431442"/>
        </right>
        <top/>
        <bottom/>
        <vertical/>
        <horizontal/>
      </border>
    </dxf>
    <dxf>
      <font>
        <color theme="1"/>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verdana"/>
        <family val="2"/>
        <scheme val="minor"/>
      </font>
      <fill>
        <patternFill patternType="solid">
          <fgColor indexed="64"/>
          <bgColor theme="5" tint="0.79998168889431442"/>
        </patternFill>
      </fill>
      <alignment horizontal="center" vertical="center" textRotation="0" wrapText="0" indent="0" justifyLastLine="0" shrinkToFit="0" readingOrder="0"/>
      <border diagonalUp="0" diagonalDown="0">
        <left/>
        <right style="medium">
          <color theme="5" tint="0.79998168889431442"/>
        </right>
        <top/>
        <bottom/>
        <vertical/>
        <horizontal/>
      </border>
    </dxf>
    <dxf>
      <font>
        <color theme="1"/>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verdana"/>
        <family val="2"/>
        <scheme val="minor"/>
      </font>
      <fill>
        <patternFill patternType="solid">
          <fgColor indexed="64"/>
          <bgColor theme="5" tint="0.79998168889431442"/>
        </patternFill>
      </fill>
      <alignment horizontal="center" vertical="center" textRotation="0" wrapText="0" indent="0" justifyLastLine="0" shrinkToFit="0" readingOrder="0"/>
      <border diagonalUp="0" diagonalDown="0">
        <left/>
        <right style="medium">
          <color theme="5" tint="0.79998168889431442"/>
        </right>
        <top/>
        <bottom/>
        <vertical/>
        <horizontal/>
      </border>
    </dxf>
    <dxf>
      <font>
        <color theme="1"/>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verdana"/>
        <family val="2"/>
        <scheme val="minor"/>
      </font>
      <fill>
        <patternFill patternType="solid">
          <fgColor indexed="64"/>
          <bgColor theme="5" tint="0.79998168889431442"/>
        </patternFill>
      </fill>
      <alignment horizontal="center" vertical="center" textRotation="0" wrapText="0" indent="0" justifyLastLine="0" shrinkToFit="0" readingOrder="0"/>
      <border diagonalUp="0" diagonalDown="0">
        <left/>
        <right style="medium">
          <color theme="5" tint="0.79998168889431442"/>
        </right>
        <top/>
        <bottom/>
        <vertical/>
        <horizontal/>
      </border>
    </dxf>
    <dxf>
      <font>
        <color theme="5" tint="-0.499984740745262"/>
      </font>
      <fill>
        <patternFill patternType="solid">
          <fgColor indexed="64"/>
          <bgColor theme="0"/>
        </patternFill>
      </fill>
      <alignment horizontal="left" vertical="center" textRotation="0" wrapText="0" indent="0" justifyLastLine="0" shrinkToFit="0" readingOrder="0"/>
    </dxf>
    <dxf>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5" tint="0.5999938962981048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5" tint="0.5999938962981048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5" tint="0.5999938962981048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5" tint="0.5999938962981048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5" tint="0.5999938962981048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5" tint="0.5999938962981048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5" tint="0.59999389629810485"/>
        </patternFill>
      </fill>
      <alignment horizontal="center" vertical="center" textRotation="0" wrapText="0" indent="0" justifyLastLine="0" shrinkToFit="0" readingOrder="0"/>
      <border diagonalUp="0" diagonalDown="0" outline="0">
        <left/>
        <right/>
        <top/>
        <bottom/>
      </border>
    </dxf>
    <dxf>
      <fill>
        <patternFill patternType="solid">
          <fgColor indexed="64"/>
          <bgColor theme="0" tint="-4.9989318521683403E-2"/>
        </patternFill>
      </fill>
      <alignment horizontal="left" vertical="center" textRotation="0" wrapText="0" indent="0" justifyLastLine="0" shrinkToFit="0" readingOrder="0"/>
      <border diagonalUp="0" diagonalDown="0" outline="0">
        <left style="thick">
          <color theme="5"/>
        </left>
        <right/>
        <top/>
        <bottom/>
      </border>
    </dxf>
    <dxf>
      <numFmt numFmtId="166" formatCode="#,##0.00\ &quot;€&quot;"/>
      <fill>
        <patternFill patternType="solid">
          <fgColor indexed="64"/>
          <bgColor theme="0"/>
        </patternFill>
      </fill>
      <alignment horizontal="center" vertical="center" textRotation="0" wrapText="0" indent="0" justifyLastLine="0" shrinkToFit="0" readingOrder="0"/>
    </dxf>
    <dxf>
      <fill>
        <patternFill patternType="solid">
          <fgColor indexed="64"/>
          <bgColor theme="5" tint="0.79998168889431442"/>
        </patternFill>
      </fill>
      <alignment horizontal="center" vertical="center" textRotation="0" wrapText="0" indent="0" justifyLastLine="0" shrinkToFit="0" readingOrder="0"/>
    </dxf>
    <dxf>
      <font>
        <color theme="1"/>
      </font>
      <fill>
        <patternFill patternType="solid">
          <fgColor indexed="64"/>
          <bgColor theme="0"/>
        </patternFill>
      </fill>
      <alignment horizontal="center" vertical="center" textRotation="0" wrapText="0" indent="0" justifyLastLine="0" shrinkToFit="0" readingOrder="0"/>
    </dxf>
    <dxf>
      <font>
        <color theme="1"/>
      </font>
      <fill>
        <patternFill patternType="solid">
          <fgColor indexed="64"/>
          <bgColor theme="5" tint="0.79998168889431442"/>
        </patternFill>
      </fill>
      <alignment horizontal="center" vertical="center" textRotation="0" wrapText="0" indent="0" justifyLastLine="0" shrinkToFit="0" readingOrder="0"/>
      <border diagonalUp="0" diagonalDown="0">
        <left/>
        <right style="medium">
          <color theme="5" tint="0.79998168889431442"/>
        </right>
        <top/>
        <bottom/>
        <vertical/>
        <horizontal/>
      </border>
    </dxf>
    <dxf>
      <font>
        <color theme="1"/>
      </font>
      <fill>
        <patternFill patternType="solid">
          <fgColor indexed="64"/>
          <bgColor theme="0"/>
        </patternFill>
      </fill>
      <alignment horizontal="center" vertical="center" textRotation="0" wrapText="0" indent="0" justifyLastLine="0" shrinkToFit="0" readingOrder="0"/>
    </dxf>
    <dxf>
      <font>
        <color theme="1"/>
      </font>
      <fill>
        <patternFill patternType="solid">
          <fgColor indexed="64"/>
          <bgColor theme="5" tint="0.79998168889431442"/>
        </patternFill>
      </fill>
      <alignment horizontal="center" vertical="center" textRotation="0" wrapText="0" indent="0" justifyLastLine="0" shrinkToFit="0" readingOrder="0"/>
      <border diagonalUp="0" diagonalDown="0">
        <left/>
        <right style="medium">
          <color theme="5" tint="0.79998168889431442"/>
        </right>
        <top/>
        <bottom/>
        <vertical/>
        <horizontal/>
      </border>
    </dxf>
    <dxf>
      <font>
        <color theme="1"/>
      </font>
      <fill>
        <patternFill patternType="solid">
          <fgColor indexed="64"/>
          <bgColor theme="0"/>
        </patternFill>
      </fill>
      <alignment horizontal="center" vertical="center" textRotation="0" wrapText="0" indent="0" justifyLastLine="0" shrinkToFit="0" readingOrder="0"/>
    </dxf>
    <dxf>
      <font>
        <color theme="1"/>
      </font>
      <fill>
        <patternFill patternType="solid">
          <fgColor indexed="64"/>
          <bgColor theme="5" tint="0.79998168889431442"/>
        </patternFill>
      </fill>
      <alignment horizontal="center" vertical="center" textRotation="0" wrapText="0" indent="0" justifyLastLine="0" shrinkToFit="0" readingOrder="0"/>
      <border diagonalUp="0" diagonalDown="0">
        <left/>
        <right style="medium">
          <color theme="5" tint="0.79998168889431442"/>
        </right>
        <top/>
        <bottom/>
        <vertical/>
        <horizontal/>
      </border>
    </dxf>
    <dxf>
      <font>
        <color theme="1"/>
      </font>
      <fill>
        <patternFill patternType="solid">
          <fgColor indexed="64"/>
          <bgColor theme="0"/>
        </patternFill>
      </fill>
      <alignment horizontal="center" vertical="center" textRotation="0" wrapText="0" indent="0" justifyLastLine="0" shrinkToFit="0" readingOrder="0"/>
    </dxf>
    <dxf>
      <font>
        <color theme="1"/>
      </font>
      <fill>
        <patternFill patternType="solid">
          <fgColor indexed="64"/>
          <bgColor theme="5" tint="0.79998168889431442"/>
        </patternFill>
      </fill>
      <alignment horizontal="center" vertical="center" textRotation="0" wrapText="0" indent="0" justifyLastLine="0" shrinkToFit="0" readingOrder="0"/>
      <border diagonalUp="0" diagonalDown="0">
        <left/>
        <right style="medium">
          <color theme="5" tint="0.79998168889431442"/>
        </right>
        <top/>
        <bottom/>
        <vertical/>
        <horizontal/>
      </border>
    </dxf>
    <dxf>
      <font>
        <color theme="1"/>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verdana"/>
        <family val="2"/>
        <scheme val="minor"/>
      </font>
      <fill>
        <patternFill patternType="solid">
          <fgColor indexed="64"/>
          <bgColor theme="5" tint="0.79998168889431442"/>
        </patternFill>
      </fill>
      <alignment horizontal="center" vertical="center" textRotation="0" wrapText="0" indent="0" justifyLastLine="0" shrinkToFit="0" readingOrder="0"/>
      <border diagonalUp="0" diagonalDown="0">
        <left/>
        <right style="medium">
          <color theme="5" tint="0.79998168889431442"/>
        </right>
        <top/>
        <bottom/>
        <vertical/>
        <horizontal/>
      </border>
    </dxf>
    <dxf>
      <font>
        <color theme="1"/>
      </font>
      <fill>
        <patternFill patternType="solid">
          <fgColor indexed="64"/>
          <bgColor theme="0"/>
        </patternFill>
      </fill>
      <alignment horizontal="center" vertical="center" textRotation="0" wrapText="0" indent="0" justifyLastLine="0" shrinkToFit="0" readingOrder="0"/>
    </dxf>
    <dxf>
      <font>
        <color theme="1"/>
      </font>
      <fill>
        <patternFill patternType="solid">
          <fgColor indexed="64"/>
          <bgColor theme="5" tint="0.79998168889431442"/>
        </patternFill>
      </fill>
      <alignment horizontal="center" vertical="center" textRotation="0" wrapText="0" indent="0" justifyLastLine="0" shrinkToFit="0" readingOrder="0"/>
      <border diagonalUp="0" diagonalDown="0">
        <left/>
        <right style="medium">
          <color theme="5" tint="0.79998168889431442"/>
        </right>
        <top/>
        <bottom/>
        <vertical/>
        <horizontal/>
      </border>
    </dxf>
    <dxf>
      <font>
        <color theme="5" tint="-0.499984740745262"/>
      </font>
      <fill>
        <patternFill patternType="solid">
          <fgColor indexed="64"/>
          <bgColor theme="0"/>
        </patternFill>
      </fill>
      <alignment horizontal="left" vertical="center" textRotation="0" wrapText="0" indent="0" justifyLastLine="0" shrinkToFit="0" readingOrder="0"/>
    </dxf>
    <dxf>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4" tint="0.5999938962981048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4" tint="0.5999938962981048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4" tint="0.5999938962981048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4" tint="0.5999938962981048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4" tint="0.5999938962981048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4" tint="0.5999938962981048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4" tint="0.59999389629810485"/>
        </patternFill>
      </fill>
      <alignment horizontal="center" vertical="center" textRotation="0" wrapText="0" indent="0" justifyLastLine="0" shrinkToFit="0" readingOrder="0"/>
      <border diagonalUp="0" diagonalDown="0" outline="0">
        <left/>
        <right/>
        <top/>
        <bottom/>
      </border>
    </dxf>
    <dxf>
      <fill>
        <patternFill patternType="solid">
          <fgColor indexed="64"/>
          <bgColor theme="0" tint="-4.9989318521683403E-2"/>
        </patternFill>
      </fill>
      <alignment horizontal="left" vertical="center" textRotation="0" wrapText="0" indent="0" justifyLastLine="0" shrinkToFit="0" readingOrder="0"/>
      <border diagonalUp="0" diagonalDown="0" outline="0">
        <left style="thick">
          <color theme="4"/>
        </left>
        <right/>
        <top/>
        <bottom/>
      </border>
    </dxf>
    <dxf>
      <numFmt numFmtId="166" formatCode="#,##0.00\ &quot;€&quot;"/>
      <fill>
        <patternFill patternType="solid">
          <fgColor indexed="64"/>
          <bgColor theme="0"/>
        </patternFill>
      </fill>
      <alignment horizontal="center" vertical="center" textRotation="0" wrapText="0" indent="0" justifyLastLine="0" shrinkToFit="0" readingOrder="0"/>
    </dxf>
    <dxf>
      <fill>
        <patternFill patternType="solid">
          <fgColor indexed="64"/>
          <bgColor theme="4" tint="0.79998168889431442"/>
        </patternFill>
      </fill>
      <alignment horizontal="center" vertical="center" textRotation="0" wrapText="0" indent="0" justifyLastLine="0" shrinkToFit="0" readingOrder="0"/>
    </dxf>
    <dxf>
      <font>
        <color theme="1"/>
      </font>
      <fill>
        <patternFill patternType="solid">
          <fgColor indexed="64"/>
          <bgColor theme="0"/>
        </patternFill>
      </fill>
      <alignment horizontal="center" vertical="center" textRotation="0" wrapText="0" indent="0" justifyLastLine="0" shrinkToFit="0" readingOrder="0"/>
    </dxf>
    <dxf>
      <font>
        <color theme="1"/>
      </font>
      <fill>
        <patternFill patternType="solid">
          <fgColor indexed="64"/>
          <bgColor theme="4" tint="0.79998168889431442"/>
        </patternFill>
      </fill>
      <alignment horizontal="center" vertical="center" textRotation="0" wrapText="0" indent="0" justifyLastLine="0" shrinkToFit="0" readingOrder="0"/>
    </dxf>
    <dxf>
      <font>
        <color theme="1"/>
      </font>
      <fill>
        <patternFill patternType="solid">
          <fgColor indexed="64"/>
          <bgColor theme="0"/>
        </patternFill>
      </fill>
      <alignment horizontal="center" vertical="center" textRotation="0" wrapText="0" indent="0" justifyLastLine="0" shrinkToFit="0" readingOrder="0"/>
    </dxf>
    <dxf>
      <font>
        <color theme="1"/>
      </font>
      <fill>
        <patternFill patternType="solid">
          <fgColor indexed="64"/>
          <bgColor theme="4" tint="0.79998168889431442"/>
        </patternFill>
      </fill>
      <alignment horizontal="center" vertical="center" textRotation="0" wrapText="0" indent="0" justifyLastLine="0" shrinkToFit="0" readingOrder="0"/>
    </dxf>
    <dxf>
      <font>
        <color theme="1"/>
      </font>
      <fill>
        <patternFill patternType="solid">
          <fgColor indexed="64"/>
          <bgColor theme="0"/>
        </patternFill>
      </fill>
      <alignment horizontal="center" vertical="center" textRotation="0" wrapText="0" indent="0" justifyLastLine="0" shrinkToFit="0" readingOrder="0"/>
    </dxf>
    <dxf>
      <font>
        <color theme="1"/>
      </font>
      <fill>
        <patternFill patternType="solid">
          <fgColor indexed="64"/>
          <bgColor theme="4" tint="0.79998168889431442"/>
        </patternFill>
      </fill>
      <alignment horizontal="center" vertical="center" textRotation="0" wrapText="0" indent="0" justifyLastLine="0" shrinkToFit="0" readingOrder="0"/>
    </dxf>
    <dxf>
      <font>
        <color theme="1"/>
      </font>
      <fill>
        <patternFill patternType="solid">
          <fgColor indexed="64"/>
          <bgColor theme="0"/>
        </patternFill>
      </fill>
      <alignment horizontal="center" vertical="center" textRotation="0" wrapText="0" indent="0" justifyLastLine="0" shrinkToFit="0" readingOrder="0"/>
    </dxf>
    <dxf>
      <font>
        <color theme="1"/>
      </font>
      <fill>
        <patternFill patternType="solid">
          <fgColor indexed="64"/>
          <bgColor theme="4" tint="0.79998168889431442"/>
        </patternFill>
      </fill>
      <alignment horizontal="center" vertical="center" textRotation="0" wrapText="0" indent="0" justifyLastLine="0" shrinkToFit="0" readingOrder="0"/>
    </dxf>
    <dxf>
      <font>
        <color theme="1"/>
      </font>
      <fill>
        <patternFill patternType="solid">
          <fgColor indexed="64"/>
          <bgColor theme="0"/>
        </patternFill>
      </fill>
      <alignment horizontal="center" vertical="center" textRotation="0" wrapText="0" indent="0" justifyLastLine="0" shrinkToFit="0" readingOrder="0"/>
    </dxf>
    <dxf>
      <font>
        <color theme="1"/>
      </font>
      <fill>
        <patternFill patternType="solid">
          <fgColor indexed="64"/>
          <bgColor theme="4" tint="0.79998168889431442"/>
        </patternFill>
      </fill>
      <alignment horizontal="center" vertical="center" textRotation="0" wrapText="0" indent="0" justifyLastLine="0" shrinkToFit="0" readingOrder="0"/>
    </dxf>
    <dxf>
      <font>
        <color theme="1"/>
      </font>
      <fill>
        <patternFill patternType="solid">
          <fgColor indexed="64"/>
          <bgColor theme="0"/>
        </patternFill>
      </fill>
      <alignment horizontal="center" vertical="center" textRotation="0" wrapText="0" indent="0" justifyLastLine="0" shrinkToFit="0" readingOrder="0"/>
    </dxf>
    <dxf>
      <font>
        <color theme="1"/>
      </font>
      <fill>
        <patternFill patternType="solid">
          <fgColor indexed="64"/>
          <bgColor theme="4" tint="0.79998168889431442"/>
        </patternFill>
      </fill>
      <alignment horizontal="center" vertical="center" textRotation="0" wrapText="0" indent="0" justifyLastLine="0" shrinkToFit="0" readingOrder="0"/>
    </dxf>
    <dxf>
      <font>
        <color theme="5" tint="-0.499984740745262"/>
      </font>
      <fill>
        <patternFill patternType="solid">
          <fgColor indexed="64"/>
          <bgColor theme="0"/>
        </patternFill>
      </fill>
      <alignment horizontal="left" vertical="center" textRotation="0" wrapText="0" indent="0" justifyLastLine="0" shrinkToFit="0" readingOrder="0"/>
    </dxf>
    <dxf>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numFmt numFmtId="164" formatCode="_-&quot;$&quot;* #,##0.00_-;\-&quot;$&quot;* #,##0.00_-;_-&quot;$&quot;* &quot;-&quot;??_-;_-@_-"/>
      <fill>
        <patternFill patternType="solid">
          <fgColor indexed="64"/>
          <bgColor theme="4" tint="0.59999389629810485"/>
        </patternFill>
      </fill>
      <alignment horizontal="center" vertical="center" textRotation="0" wrapText="0" indent="0" justifyLastLine="0" shrinkToFit="0" readingOrder="0"/>
      <border diagonalUp="0" diagonalDown="0" outline="0">
        <left/>
        <right/>
        <top/>
        <bottom/>
      </border>
    </dxf>
    <dxf>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numFmt numFmtId="164" formatCode="_-&quot;$&quot;* #,##0.00_-;\-&quot;$&quot;* #,##0.00_-;_-&quot;$&quot;* &quot;-&quot;??_-;_-@_-"/>
      <fill>
        <patternFill patternType="solid">
          <fgColor indexed="64"/>
          <bgColor theme="4" tint="0.59999389629810485"/>
        </patternFill>
      </fill>
      <alignment horizontal="center" vertical="center" textRotation="0" wrapText="0" indent="0" justifyLastLine="0" shrinkToFit="0" readingOrder="0"/>
      <border diagonalUp="0" diagonalDown="0" outline="0">
        <left/>
        <right/>
        <top/>
        <bottom/>
      </border>
    </dxf>
    <dxf>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numFmt numFmtId="164" formatCode="_-&quot;$&quot;* #,##0.00_-;\-&quot;$&quot;* #,##0.00_-;_-&quot;$&quot;* &quot;-&quot;??_-;_-@_-"/>
      <fill>
        <patternFill patternType="solid">
          <fgColor indexed="64"/>
          <bgColor theme="4" tint="0.59999389629810485"/>
        </patternFill>
      </fill>
      <alignment horizontal="center" vertical="center" textRotation="0" wrapText="0" indent="0" justifyLastLine="0" shrinkToFit="0" readingOrder="0"/>
      <border diagonalUp="0" diagonalDown="0" outline="0">
        <left/>
        <right/>
        <top/>
        <bottom/>
      </border>
    </dxf>
    <dxf>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numFmt numFmtId="164" formatCode="_-&quot;$&quot;* #,##0.00_-;\-&quot;$&quot;* #,##0.00_-;_-&quot;$&quot;* &quot;-&quot;??_-;_-@_-"/>
      <fill>
        <patternFill patternType="solid">
          <fgColor indexed="64"/>
          <bgColor theme="4" tint="0.59999389629810485"/>
        </patternFill>
      </fill>
      <alignment horizontal="center" vertical="center" textRotation="0" wrapText="0" indent="0" justifyLastLine="0" shrinkToFit="0" readingOrder="0"/>
      <border diagonalUp="0" diagonalDown="0" outline="0">
        <left/>
        <right/>
        <top/>
        <bottom/>
      </border>
    </dxf>
    <dxf>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numFmt numFmtId="164" formatCode="_-&quot;$&quot;* #,##0.00_-;\-&quot;$&quot;* #,##0.00_-;_-&quot;$&quot;* &quot;-&quot;??_-;_-@_-"/>
      <fill>
        <patternFill patternType="solid">
          <fgColor indexed="64"/>
          <bgColor theme="4" tint="0.59999389629810485"/>
        </patternFill>
      </fill>
      <alignment horizontal="center" vertical="center" textRotation="0" wrapText="0" indent="0" justifyLastLine="0" shrinkToFit="0" readingOrder="0"/>
      <border diagonalUp="0" diagonalDown="0" outline="0">
        <left/>
        <right/>
        <top/>
        <bottom/>
      </border>
    </dxf>
    <dxf>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numFmt numFmtId="164" formatCode="_-&quot;$&quot;* #,##0.00_-;\-&quot;$&quot;* #,##0.00_-;_-&quot;$&quot;* &quot;-&quot;??_-;_-@_-"/>
      <fill>
        <patternFill patternType="solid">
          <fgColor indexed="64"/>
          <bgColor theme="4" tint="0.59999389629810485"/>
        </patternFill>
      </fill>
      <alignment horizontal="center" vertical="center" textRotation="0" wrapText="0" indent="0" justifyLastLine="0" shrinkToFit="0" readingOrder="0"/>
      <border diagonalUp="0" diagonalDown="0" outline="0">
        <left/>
        <right/>
        <top/>
        <bottom/>
      </border>
    </dxf>
    <dxf>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numFmt numFmtId="164" formatCode="_-&quot;$&quot;* #,##0.00_-;\-&quot;$&quot;* #,##0.00_-;_-&quot;$&quot;* &quot;-&quot;??_-;_-@_-"/>
      <fill>
        <patternFill patternType="solid">
          <fgColor indexed="64"/>
          <bgColor theme="4" tint="0.59999389629810485"/>
        </patternFill>
      </fill>
      <alignment horizontal="center" vertical="center" textRotation="0" wrapText="0" indent="0" justifyLastLine="0" shrinkToFit="0" readingOrder="0"/>
      <border diagonalUp="0" diagonalDown="0" outline="0">
        <left/>
        <right/>
        <top/>
        <bottom/>
      </border>
    </dxf>
    <dxf>
      <fill>
        <patternFill patternType="solid">
          <fgColor indexed="64"/>
          <bgColor theme="0" tint="-4.9989318521683403E-2"/>
        </patternFill>
      </fill>
      <alignment horizontal="left" vertical="center" textRotation="0" wrapText="0" indent="0" justifyLastLine="0" shrinkToFit="0" readingOrder="0"/>
      <border diagonalUp="0" diagonalDown="0" outline="0">
        <left style="thick">
          <color theme="4"/>
        </left>
        <right/>
        <top/>
        <bottom/>
      </border>
    </dxf>
    <dxf>
      <numFmt numFmtId="166" formatCode="#,##0.00\ &quot;€&quo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tint="0.14993743705557422"/>
        <name val="verdana"/>
        <family val="2"/>
        <scheme val="minor"/>
      </font>
      <fill>
        <patternFill patternType="solid">
          <fgColor indexed="64"/>
          <bgColor theme="4"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verdana"/>
        <family val="2"/>
        <scheme val="minor"/>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verdana"/>
        <family val="2"/>
        <scheme val="minor"/>
      </font>
      <fill>
        <patternFill patternType="solid">
          <fgColor indexed="64"/>
          <bgColor theme="4"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verdana"/>
        <family val="2"/>
        <scheme val="minor"/>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verdana"/>
        <family val="2"/>
        <scheme val="minor"/>
      </font>
      <fill>
        <patternFill patternType="solid">
          <fgColor indexed="64"/>
          <bgColor theme="4"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verdana"/>
        <family val="2"/>
        <scheme val="minor"/>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verdana"/>
        <family val="2"/>
        <scheme val="minor"/>
      </font>
      <fill>
        <patternFill patternType="solid">
          <fgColor indexed="64"/>
          <bgColor theme="4"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verdana"/>
        <family val="2"/>
        <scheme val="minor"/>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verdana"/>
        <family val="2"/>
        <scheme val="minor"/>
      </font>
      <fill>
        <patternFill patternType="solid">
          <fgColor indexed="64"/>
          <bgColor theme="4"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verdana"/>
        <family val="2"/>
        <scheme val="minor"/>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verdana"/>
        <family val="2"/>
        <scheme val="minor"/>
      </font>
      <fill>
        <patternFill patternType="solid">
          <fgColor indexed="64"/>
          <bgColor theme="4"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verdana"/>
        <family val="2"/>
        <scheme val="minor"/>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verdana"/>
        <family val="2"/>
        <scheme val="minor"/>
      </font>
      <fill>
        <patternFill patternType="solid">
          <fgColor indexed="64"/>
          <bgColor theme="4" tint="0.79998168889431442"/>
        </patternFill>
      </fill>
      <alignment horizontal="center" vertical="center" textRotation="0" wrapText="0" indent="0" justifyLastLine="0" shrinkToFit="0" readingOrder="0"/>
    </dxf>
    <dxf>
      <font>
        <color theme="5" tint="-0.499984740745262"/>
      </font>
      <fill>
        <patternFill patternType="solid">
          <fgColor indexed="64"/>
          <bgColor theme="0"/>
        </patternFill>
      </fill>
      <alignment horizontal="left" vertical="center" textRotation="0" wrapText="0" indent="0" justifyLastLine="0" shrinkToFit="0" readingOrder="0"/>
    </dxf>
    <dxf>
      <numFmt numFmtId="166" formatCode="#,##0.00\ &quot;€&quo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tint="0.14993743705557422"/>
        <name val="verdana"/>
        <family val="2"/>
        <scheme val="minor"/>
      </font>
      <fill>
        <patternFill patternType="solid">
          <fgColor indexed="64"/>
          <bgColor theme="5"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verdana"/>
        <family val="2"/>
        <scheme val="minor"/>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verdana"/>
        <family val="2"/>
        <scheme val="minor"/>
      </font>
      <fill>
        <patternFill patternType="solid">
          <fgColor indexed="64"/>
          <bgColor theme="5" tint="0.79998168889431442"/>
        </patternFill>
      </fill>
      <alignment horizontal="center" vertical="center" textRotation="0" wrapText="0" indent="0" justifyLastLine="0" shrinkToFit="0" readingOrder="0"/>
      <border diagonalUp="0" diagonalDown="0">
        <left/>
        <right style="medium">
          <color theme="5" tint="0.79998168889431442"/>
        </right>
        <top/>
        <bottom/>
        <vertical/>
        <horizontal/>
      </border>
    </dxf>
    <dxf>
      <font>
        <b val="0"/>
        <i val="0"/>
        <strike val="0"/>
        <condense val="0"/>
        <extend val="0"/>
        <outline val="0"/>
        <shadow val="0"/>
        <u val="none"/>
        <vertAlign val="baseline"/>
        <sz val="10"/>
        <color theme="1"/>
        <name val="verdana"/>
        <family val="2"/>
        <scheme val="minor"/>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verdana"/>
        <family val="2"/>
        <scheme val="minor"/>
      </font>
      <fill>
        <patternFill patternType="solid">
          <fgColor indexed="64"/>
          <bgColor theme="5" tint="0.79998168889431442"/>
        </patternFill>
      </fill>
      <alignment horizontal="center" vertical="center" textRotation="0" wrapText="0" indent="0" justifyLastLine="0" shrinkToFit="0" readingOrder="0"/>
      <border diagonalUp="0" diagonalDown="0">
        <left/>
        <right style="medium">
          <color theme="5" tint="0.79998168889431442"/>
        </right>
        <top/>
        <bottom/>
        <vertical/>
        <horizontal/>
      </border>
    </dxf>
    <dxf>
      <font>
        <b val="0"/>
        <i val="0"/>
        <strike val="0"/>
        <condense val="0"/>
        <extend val="0"/>
        <outline val="0"/>
        <shadow val="0"/>
        <u val="none"/>
        <vertAlign val="baseline"/>
        <sz val="10"/>
        <color theme="1"/>
        <name val="verdana"/>
        <family val="2"/>
        <scheme val="minor"/>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verdana"/>
        <family val="2"/>
        <scheme val="minor"/>
      </font>
      <fill>
        <patternFill patternType="solid">
          <fgColor indexed="64"/>
          <bgColor theme="5" tint="0.79998168889431442"/>
        </patternFill>
      </fill>
      <alignment horizontal="center" vertical="center" textRotation="0" wrapText="0" indent="0" justifyLastLine="0" shrinkToFit="0" readingOrder="0"/>
      <border diagonalUp="0" diagonalDown="0">
        <left/>
        <right style="medium">
          <color theme="5" tint="0.79998168889431442"/>
        </right>
        <top/>
        <bottom/>
        <vertical/>
        <horizontal/>
      </border>
    </dxf>
    <dxf>
      <font>
        <b val="0"/>
        <i val="0"/>
        <strike val="0"/>
        <condense val="0"/>
        <extend val="0"/>
        <outline val="0"/>
        <shadow val="0"/>
        <u val="none"/>
        <vertAlign val="baseline"/>
        <sz val="10"/>
        <color theme="1"/>
        <name val="verdana"/>
        <family val="2"/>
        <scheme val="minor"/>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verdana"/>
        <family val="2"/>
        <scheme val="minor"/>
      </font>
      <fill>
        <patternFill patternType="solid">
          <fgColor indexed="64"/>
          <bgColor theme="5" tint="0.79998168889431442"/>
        </patternFill>
      </fill>
      <alignment horizontal="center" vertical="center" textRotation="0" wrapText="0" indent="0" justifyLastLine="0" shrinkToFit="0" readingOrder="0"/>
      <border diagonalUp="0" diagonalDown="0">
        <left/>
        <right style="medium">
          <color theme="5" tint="0.79998168889431442"/>
        </right>
        <top/>
        <bottom/>
        <vertical/>
        <horizontal/>
      </border>
    </dxf>
    <dxf>
      <font>
        <b val="0"/>
        <i val="0"/>
        <strike val="0"/>
        <condense val="0"/>
        <extend val="0"/>
        <outline val="0"/>
        <shadow val="0"/>
        <u val="none"/>
        <vertAlign val="baseline"/>
        <sz val="10"/>
        <color theme="1"/>
        <name val="verdana"/>
        <family val="2"/>
        <scheme val="minor"/>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verdana"/>
        <family val="2"/>
        <scheme val="minor"/>
      </font>
      <fill>
        <patternFill patternType="solid">
          <fgColor indexed="64"/>
          <bgColor theme="5" tint="0.79998168889431442"/>
        </patternFill>
      </fill>
      <alignment horizontal="center" vertical="center" textRotation="0" wrapText="0" indent="0" justifyLastLine="0" shrinkToFit="0" readingOrder="0"/>
      <border diagonalUp="0" diagonalDown="0">
        <left/>
        <right style="medium">
          <color theme="5" tint="0.79998168889431442"/>
        </right>
        <top/>
        <bottom/>
        <vertical/>
        <horizontal/>
      </border>
    </dxf>
    <dxf>
      <font>
        <b val="0"/>
        <i val="0"/>
        <strike val="0"/>
        <condense val="0"/>
        <extend val="0"/>
        <outline val="0"/>
        <shadow val="0"/>
        <u val="none"/>
        <vertAlign val="baseline"/>
        <sz val="10"/>
        <color theme="1"/>
        <name val="verdana"/>
        <family val="2"/>
        <scheme val="minor"/>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verdana"/>
        <family val="2"/>
        <scheme val="minor"/>
      </font>
      <fill>
        <patternFill patternType="solid">
          <fgColor indexed="64"/>
          <bgColor theme="5" tint="0.79998168889431442"/>
        </patternFill>
      </fill>
      <alignment horizontal="center" vertical="center" textRotation="0" wrapText="0" indent="0" justifyLastLine="0" shrinkToFit="0" readingOrder="0"/>
      <border diagonalUp="0" diagonalDown="0">
        <left/>
        <right style="medium">
          <color theme="5" tint="0.79998168889431442"/>
        </right>
        <top/>
        <bottom/>
        <vertical/>
        <horizontal/>
      </border>
    </dxf>
    <dxf>
      <fill>
        <patternFill patternType="solid">
          <fgColor indexed="64"/>
          <bgColor theme="0"/>
        </patternFill>
      </fill>
      <alignment horizontal="left" vertical="center" textRotation="0" wrapText="0" indent="0" justifyLastLine="0" shrinkToFit="0" readingOrder="0"/>
    </dxf>
    <dxf>
      <numFmt numFmtId="166" formatCode="#,##0.00\ &quot;€&quot;"/>
      <fill>
        <patternFill patternType="solid">
          <fgColor indexed="64"/>
          <bgColor theme="0"/>
        </patternFill>
      </fill>
      <alignment horizontal="center" vertical="center" textRotation="0" wrapText="0" indent="0" justifyLastLine="0" shrinkToFit="0" readingOrder="0"/>
    </dxf>
    <dxf>
      <fill>
        <patternFill patternType="solid">
          <fgColor indexed="64"/>
          <bgColor theme="4"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verdana"/>
        <family val="2"/>
        <scheme val="minor"/>
      </font>
      <fill>
        <patternFill patternType="solid">
          <fgColor indexed="64"/>
          <bgColor theme="0"/>
        </patternFill>
      </fill>
      <alignment horizontal="center" vertical="center" textRotation="0" wrapText="0" indent="0" justifyLastLine="0" shrinkToFit="0" readingOrder="0"/>
    </dxf>
    <dxf>
      <font>
        <color theme="1"/>
      </font>
      <fill>
        <patternFill patternType="solid">
          <fgColor indexed="64"/>
          <bgColor theme="4"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verdana"/>
        <family val="2"/>
        <scheme val="minor"/>
      </font>
      <fill>
        <patternFill patternType="solid">
          <fgColor indexed="64"/>
          <bgColor theme="0"/>
        </patternFill>
      </fill>
      <alignment horizontal="center" vertical="center" textRotation="0" wrapText="0" indent="0" justifyLastLine="0" shrinkToFit="0" readingOrder="0"/>
    </dxf>
    <dxf>
      <font>
        <color theme="1"/>
      </font>
      <fill>
        <patternFill patternType="solid">
          <fgColor indexed="64"/>
          <bgColor theme="4"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verdana"/>
        <family val="2"/>
        <scheme val="minor"/>
      </font>
      <fill>
        <patternFill patternType="solid">
          <fgColor indexed="64"/>
          <bgColor theme="0"/>
        </patternFill>
      </fill>
      <alignment horizontal="center" vertical="center" textRotation="0" wrapText="0" indent="0" justifyLastLine="0" shrinkToFit="0" readingOrder="0"/>
    </dxf>
    <dxf>
      <font>
        <color theme="1"/>
      </font>
      <fill>
        <patternFill patternType="solid">
          <fgColor indexed="64"/>
          <bgColor theme="4"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verdana"/>
        <family val="2"/>
        <scheme val="minor"/>
      </font>
      <fill>
        <patternFill patternType="solid">
          <fgColor indexed="64"/>
          <bgColor theme="0"/>
        </patternFill>
      </fill>
      <alignment horizontal="center" vertical="center" textRotation="0" wrapText="0" indent="0" justifyLastLine="0" shrinkToFit="0" readingOrder="0"/>
    </dxf>
    <dxf>
      <font>
        <color theme="1"/>
      </font>
      <fill>
        <patternFill patternType="solid">
          <fgColor indexed="64"/>
          <bgColor theme="4"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verdana"/>
        <family val="2"/>
        <scheme val="minor"/>
      </font>
      <fill>
        <patternFill patternType="solid">
          <fgColor indexed="64"/>
          <bgColor theme="0"/>
        </patternFill>
      </fill>
      <alignment horizontal="center" vertical="center" textRotation="0" wrapText="0" indent="0" justifyLastLine="0" shrinkToFit="0" readingOrder="0"/>
    </dxf>
    <dxf>
      <font>
        <color theme="1"/>
      </font>
      <fill>
        <patternFill patternType="solid">
          <fgColor indexed="64"/>
          <bgColor theme="4"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verdana"/>
        <family val="2"/>
        <scheme val="minor"/>
      </font>
      <fill>
        <patternFill patternType="solid">
          <fgColor indexed="64"/>
          <bgColor theme="0"/>
        </patternFill>
      </fill>
      <alignment horizontal="center" vertical="center" textRotation="0" wrapText="0" indent="0" justifyLastLine="0" shrinkToFit="0" readingOrder="0"/>
    </dxf>
    <dxf>
      <font>
        <color theme="1"/>
      </font>
      <fill>
        <patternFill patternType="solid">
          <fgColor indexed="64"/>
          <bgColor theme="4" tint="0.79998168889431442"/>
        </patternFill>
      </fill>
      <alignment horizontal="center" vertical="center" textRotation="0" wrapText="0" indent="0" justifyLastLine="0" shrinkToFit="0" readingOrder="0"/>
    </dxf>
    <dxf>
      <fill>
        <patternFill patternType="solid">
          <fgColor indexed="64"/>
          <bgColor theme="0"/>
        </patternFill>
      </fill>
      <alignment horizontal="left" vertical="center" textRotation="0" wrapText="0" indent="0" justifyLastLine="0" shrinkToFit="0" readingOrder="0"/>
    </dxf>
    <dxf>
      <font>
        <b val="0"/>
        <i val="0"/>
        <strike val="0"/>
        <condense val="0"/>
        <extend val="0"/>
        <outline val="0"/>
        <shadow val="0"/>
        <u val="none"/>
        <vertAlign val="baseline"/>
        <sz val="10"/>
        <color theme="4" tint="-0.499984740745262"/>
        <name val="verdana"/>
        <family val="2"/>
        <scheme val="minor"/>
      </font>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10"/>
        <color theme="0"/>
        <name val="verdana"/>
        <family val="2"/>
        <scheme val="minor"/>
      </font>
      <fill>
        <patternFill patternType="solid">
          <fgColor indexed="64"/>
          <bgColor theme="0"/>
        </patternFill>
      </fill>
      <alignment horizontal="center" vertical="center" textRotation="0" wrapText="0" indent="0" justifyLastLine="0" shrinkToFit="0" readingOrder="0"/>
    </dxf>
    <dxf>
      <font>
        <color theme="4" tint="-0.499984740745262"/>
      </font>
      <fill>
        <patternFill patternType="solid">
          <fgColor indexed="64"/>
          <bgColor theme="0"/>
        </patternFill>
      </fill>
      <alignment horizontal="center" vertical="center" textRotation="0" wrapText="0" indent="0" justifyLastLine="0" shrinkToFit="0" readingOrder="0"/>
    </dxf>
    <dxf>
      <font>
        <color theme="4" tint="-0.499984740745262"/>
      </font>
      <numFmt numFmtId="166" formatCode="#,##0.00\ &quot;€&quot;"/>
      <fill>
        <patternFill patternType="solid">
          <fgColor indexed="64"/>
          <bgColor theme="0"/>
        </patternFill>
      </fill>
      <alignment horizontal="center" vertical="center" textRotation="0" wrapText="0" indent="0" justifyLastLine="0" shrinkToFit="0" readingOrder="0"/>
    </dxf>
    <dxf>
      <font>
        <color theme="4" tint="-0.499984740745262"/>
      </font>
      <fill>
        <patternFill patternType="solid">
          <fgColor indexed="64"/>
          <bgColor theme="0"/>
        </patternFill>
      </fill>
      <alignment horizontal="center" vertical="center" textRotation="0" wrapText="0" indent="0" justifyLastLine="0" shrinkToFit="0" readingOrder="0"/>
    </dxf>
    <dxf>
      <font>
        <color theme="4" tint="-0.499984740745262"/>
      </font>
      <fill>
        <patternFill patternType="solid">
          <fgColor indexed="64"/>
          <bgColor theme="0"/>
        </patternFill>
      </fill>
      <alignment horizontal="center" vertical="center" textRotation="0" wrapText="0" indent="0" justifyLastLine="0" shrinkToFit="0" readingOrder="0"/>
    </dxf>
    <dxf>
      <font>
        <color theme="4" tint="-0.499984740745262"/>
      </font>
      <fill>
        <patternFill patternType="solid">
          <fgColor indexed="64"/>
          <bgColor theme="0"/>
        </patternFill>
      </fill>
      <alignment horizontal="center" vertical="center" textRotation="0" wrapText="0" indent="0" justifyLastLine="0" shrinkToFit="0" readingOrder="0"/>
    </dxf>
    <dxf>
      <font>
        <color theme="4" tint="-0.499984740745262"/>
      </font>
      <fill>
        <patternFill patternType="solid">
          <fgColor indexed="64"/>
          <bgColor theme="0"/>
        </patternFill>
      </fill>
      <alignment horizontal="center" vertical="center" textRotation="0" wrapText="0" indent="0" justifyLastLine="0" shrinkToFit="0" readingOrder="0"/>
    </dxf>
    <dxf>
      <font>
        <color theme="4" tint="-0.499984740745262"/>
      </font>
      <fill>
        <patternFill patternType="solid">
          <fgColor indexed="64"/>
          <bgColor theme="0"/>
        </patternFill>
      </fill>
      <alignment horizontal="center" vertical="center" textRotation="0" wrapText="0" indent="0" justifyLastLine="0" shrinkToFit="0" readingOrder="0"/>
    </dxf>
    <dxf>
      <font>
        <color theme="4" tint="-0.499984740745262"/>
      </font>
      <fill>
        <patternFill patternType="solid">
          <fgColor indexed="64"/>
          <bgColor theme="0"/>
        </patternFill>
      </fill>
      <alignment horizontal="center" vertical="center" textRotation="0" wrapText="0" indent="0" justifyLastLine="0" shrinkToFit="0" readingOrder="0"/>
    </dxf>
    <dxf>
      <font>
        <color theme="4" tint="-0.499984740745262"/>
      </font>
      <fill>
        <patternFill patternType="solid">
          <fgColor indexed="64"/>
          <bgColor theme="0"/>
        </patternFill>
      </fill>
      <alignment horizontal="center" vertical="center" textRotation="0" wrapText="0" indent="0" justifyLastLine="0" shrinkToFit="0" readingOrder="0"/>
    </dxf>
    <dxf>
      <font>
        <color theme="4" tint="-0.499984740745262"/>
      </font>
      <fill>
        <patternFill patternType="solid">
          <fgColor indexed="64"/>
          <bgColor theme="0"/>
        </patternFill>
      </fill>
      <alignment horizontal="center" vertical="center" textRotation="0" wrapText="0" indent="0" justifyLastLine="0" shrinkToFit="0" readingOrder="0"/>
    </dxf>
    <dxf>
      <font>
        <color theme="4" tint="-0.499984740745262"/>
      </font>
      <fill>
        <patternFill patternType="solid">
          <fgColor indexed="64"/>
          <bgColor theme="0"/>
        </patternFill>
      </fill>
      <alignment horizontal="center" vertical="center" textRotation="0" wrapText="0" indent="0" justifyLastLine="0" shrinkToFit="0" readingOrder="0"/>
    </dxf>
    <dxf>
      <font>
        <color theme="4" tint="-0.499984740745262"/>
      </font>
      <fill>
        <patternFill patternType="solid">
          <fgColor indexed="64"/>
          <bgColor theme="0"/>
        </patternFill>
      </fill>
      <alignment horizontal="center" vertical="center" textRotation="0" wrapText="0" indent="0" justifyLastLine="0" shrinkToFit="0" readingOrder="0"/>
    </dxf>
    <dxf>
      <font>
        <color theme="4" tint="-0.499984740745262"/>
      </font>
      <fill>
        <patternFill patternType="solid">
          <fgColor indexed="64"/>
          <bgColor theme="0"/>
        </patternFill>
      </fill>
      <alignment horizontal="center" vertical="center" textRotation="0" wrapText="0" indent="0" justifyLastLine="0" shrinkToFit="0" readingOrder="0"/>
    </dxf>
    <dxf>
      <font>
        <color theme="4" tint="-0.499984740745262"/>
      </font>
      <fill>
        <patternFill patternType="solid">
          <fgColor indexed="64"/>
          <bgColor theme="0"/>
        </patternFill>
      </fill>
      <alignment horizontal="center" vertical="center" textRotation="0" wrapText="0" indent="0" justifyLastLine="0" shrinkToFit="0" readingOrder="0"/>
    </dxf>
    <dxf>
      <font>
        <color theme="4" tint="-0.499984740745262"/>
      </font>
      <fill>
        <patternFill patternType="solid">
          <fgColor indexed="64"/>
          <bgColor theme="0"/>
        </patternFill>
      </fill>
      <alignment horizontal="center" vertical="center" textRotation="0" wrapText="0" indent="0" justifyLastLine="0" shrinkToFit="0" readingOrder="0"/>
    </dxf>
    <dxf>
      <font>
        <color theme="4" tint="-0.499984740745262"/>
      </font>
      <fill>
        <patternFill patternType="solid">
          <fgColor indexed="64"/>
          <bgColor theme="0"/>
        </patternFill>
      </fill>
      <alignment horizontal="left" vertical="center" textRotation="0" wrapText="0" indent="0" justifyLastLine="0" shrinkToFit="0" readingOrder="0"/>
    </dxf>
    <dxf>
      <font>
        <b val="0"/>
        <i val="0"/>
        <strike val="0"/>
        <condense val="0"/>
        <extend val="0"/>
        <outline val="0"/>
        <shadow val="0"/>
        <u val="none"/>
        <vertAlign val="baseline"/>
        <sz val="10"/>
        <color theme="5" tint="-0.499984740745262"/>
        <name val="verdana"/>
        <family val="2"/>
        <scheme val="minor"/>
      </font>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10"/>
        <color theme="0"/>
        <name val="verdana"/>
        <family val="2"/>
        <scheme val="minor"/>
      </font>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0"/>
        <color auto="1"/>
        <name val="verdana"/>
        <scheme val="minor"/>
      </font>
      <fill>
        <patternFill patternType="solid">
          <fgColor indexed="64"/>
          <bgColor theme="0"/>
        </patternFill>
      </fill>
      <alignment horizontal="center" vertical="center" textRotation="0" wrapText="0" indent="0" justifyLastLine="0" shrinkToFit="0" readingOrder="0"/>
    </dxf>
    <dxf>
      <border outline="0">
        <left style="thick">
          <color theme="4"/>
        </left>
      </border>
    </dxf>
    <dxf>
      <border outline="0">
        <left style="thick">
          <color theme="5"/>
        </left>
      </border>
    </dxf>
    <dxf>
      <border outline="0">
        <bottom style="thick">
          <color theme="0"/>
        </bottom>
      </border>
    </dxf>
    <dxf>
      <border outline="0">
        <left style="thick">
          <color theme="4"/>
        </left>
        <bottom style="thick">
          <color theme="0"/>
        </bottom>
      </border>
    </dxf>
    <dxf>
      <border outline="0">
        <left style="thick">
          <color theme="5"/>
        </left>
        <bottom style="thick">
          <color theme="0"/>
        </bottom>
      </border>
    </dxf>
    <dxf>
      <border outline="0">
        <left style="thick">
          <color theme="5"/>
        </left>
        <bottom style="thick">
          <color theme="0"/>
        </bottom>
      </border>
    </dxf>
    <dxf>
      <border outline="0">
        <left style="thick">
          <color theme="5"/>
        </left>
      </border>
    </dxf>
    <dxf>
      <border outline="0">
        <bottom style="thick">
          <color theme="0"/>
        </bottom>
      </border>
    </dxf>
    <dxf>
      <border outline="0">
        <bottom style="thick">
          <color theme="0"/>
        </bottom>
      </border>
    </dxf>
    <dxf>
      <font>
        <strike val="0"/>
        <outline val="0"/>
        <shadow val="0"/>
        <u val="none"/>
        <vertAlign val="baseline"/>
        <sz val="10"/>
        <color theme="0"/>
      </font>
      <numFmt numFmtId="165" formatCode="&quot;$&quot;#,##0.00"/>
      <fill>
        <patternFill patternType="solid">
          <fgColor indexed="64"/>
          <bgColor theme="1"/>
        </patternFill>
      </fill>
      <alignment horizontal="center" vertical="center" textRotation="0" wrapText="0" indent="0" justifyLastLine="0" shrinkToFit="0" readingOrder="0"/>
    </dxf>
    <dxf>
      <font>
        <strike val="0"/>
        <outline val="0"/>
        <shadow val="0"/>
        <u val="none"/>
        <vertAlign val="baseline"/>
        <sz val="10"/>
        <color theme="0"/>
      </font>
      <fill>
        <patternFill patternType="solid">
          <fgColor indexed="64"/>
          <bgColor theme="1" tint="0.34998626667073579"/>
        </patternFill>
      </fill>
      <alignment horizontal="center" vertical="center" textRotation="0" wrapText="0" indent="0" justifyLastLine="0" shrinkToFit="0" readingOrder="0"/>
    </dxf>
    <dxf>
      <font>
        <strike val="0"/>
        <outline val="0"/>
        <shadow val="0"/>
        <u val="none"/>
        <vertAlign val="baseline"/>
        <sz val="10"/>
        <color theme="0"/>
      </font>
      <fill>
        <patternFill patternType="solid">
          <fgColor indexed="64"/>
          <bgColor theme="1"/>
        </patternFill>
      </fill>
      <alignment horizontal="center" vertical="center" textRotation="0" wrapText="0" indent="0" justifyLastLine="0" shrinkToFit="0" readingOrder="0"/>
    </dxf>
    <dxf>
      <font>
        <strike val="0"/>
        <outline val="0"/>
        <shadow val="0"/>
        <u val="none"/>
        <vertAlign val="baseline"/>
        <sz val="10"/>
        <color theme="0"/>
      </font>
      <fill>
        <patternFill patternType="solid">
          <fgColor indexed="64"/>
          <bgColor theme="1" tint="0.34998626667073579"/>
        </patternFill>
      </fill>
      <alignment horizontal="center" vertical="center" textRotation="0" wrapText="0" indent="0" justifyLastLine="0" shrinkToFit="0" readingOrder="0"/>
    </dxf>
    <dxf>
      <font>
        <strike val="0"/>
        <outline val="0"/>
        <shadow val="0"/>
        <u val="none"/>
        <vertAlign val="baseline"/>
        <sz val="10"/>
        <color theme="0"/>
      </font>
      <fill>
        <patternFill patternType="solid">
          <fgColor indexed="64"/>
          <bgColor theme="1"/>
        </patternFill>
      </fill>
      <alignment horizontal="center" vertical="center" textRotation="0" wrapText="0" indent="0" justifyLastLine="0" shrinkToFit="0" readingOrder="0"/>
    </dxf>
    <dxf>
      <font>
        <strike val="0"/>
        <outline val="0"/>
        <shadow val="0"/>
        <u val="none"/>
        <vertAlign val="baseline"/>
        <sz val="10"/>
        <color theme="0"/>
      </font>
      <fill>
        <patternFill patternType="solid">
          <fgColor indexed="64"/>
          <bgColor theme="1" tint="0.34998626667073579"/>
        </patternFill>
      </fill>
      <alignment horizontal="center" vertical="center" textRotation="0" wrapText="0" indent="0" justifyLastLine="0" shrinkToFit="0" readingOrder="0"/>
    </dxf>
    <dxf>
      <font>
        <strike val="0"/>
        <outline val="0"/>
        <shadow val="0"/>
        <u val="none"/>
        <vertAlign val="baseline"/>
        <sz val="10"/>
        <color theme="0"/>
      </font>
      <fill>
        <patternFill patternType="solid">
          <fgColor indexed="64"/>
          <bgColor theme="1"/>
        </patternFill>
      </fill>
      <alignment horizontal="center" vertical="center" textRotation="0" wrapText="0" indent="0" justifyLastLine="0" shrinkToFit="0" readingOrder="0"/>
    </dxf>
    <dxf>
      <font>
        <strike val="0"/>
        <outline val="0"/>
        <shadow val="0"/>
        <u val="none"/>
        <vertAlign val="baseline"/>
        <sz val="10"/>
        <color theme="0"/>
      </font>
      <fill>
        <patternFill patternType="solid">
          <fgColor indexed="64"/>
          <bgColor theme="1" tint="0.34998626667073579"/>
        </patternFill>
      </fill>
      <alignment horizontal="center" vertical="center" textRotation="0" wrapText="0" indent="0" justifyLastLine="0" shrinkToFit="0" readingOrder="0"/>
    </dxf>
    <dxf>
      <font>
        <strike val="0"/>
        <outline val="0"/>
        <shadow val="0"/>
        <u val="none"/>
        <vertAlign val="baseline"/>
        <sz val="10"/>
        <color theme="0"/>
      </font>
      <fill>
        <patternFill patternType="solid">
          <fgColor indexed="64"/>
          <bgColor theme="1"/>
        </patternFill>
      </fill>
      <alignment horizontal="center" vertical="center" textRotation="0" wrapText="0" indent="0" justifyLastLine="0" shrinkToFit="0" readingOrder="0"/>
    </dxf>
    <dxf>
      <font>
        <strike val="0"/>
        <outline val="0"/>
        <shadow val="0"/>
        <u val="none"/>
        <vertAlign val="baseline"/>
        <sz val="10"/>
        <color theme="0"/>
      </font>
      <fill>
        <patternFill patternType="solid">
          <fgColor indexed="64"/>
          <bgColor theme="1" tint="0.34998626667073579"/>
        </patternFill>
      </fill>
      <alignment horizontal="center" vertical="center" textRotation="0" wrapText="0" indent="0" justifyLastLine="0" shrinkToFit="0" readingOrder="0"/>
    </dxf>
    <dxf>
      <font>
        <strike val="0"/>
        <outline val="0"/>
        <shadow val="0"/>
        <u val="none"/>
        <vertAlign val="baseline"/>
        <sz val="10"/>
        <color theme="0"/>
      </font>
      <fill>
        <patternFill patternType="solid">
          <fgColor indexed="64"/>
          <bgColor theme="1"/>
        </patternFill>
      </fill>
      <alignment horizontal="center" vertical="center" textRotation="0" wrapText="0" indent="0" justifyLastLine="0" shrinkToFit="0" readingOrder="0"/>
    </dxf>
    <dxf>
      <font>
        <strike val="0"/>
        <outline val="0"/>
        <shadow val="0"/>
        <u val="none"/>
        <vertAlign val="baseline"/>
        <sz val="10"/>
        <color theme="0"/>
      </font>
      <fill>
        <patternFill patternType="solid">
          <fgColor indexed="64"/>
          <bgColor theme="1" tint="0.34998626667073579"/>
        </patternFill>
      </fill>
      <alignment horizontal="center" vertical="center" textRotation="0" wrapText="0" indent="0" justifyLastLine="0" shrinkToFit="0" readingOrder="0"/>
    </dxf>
    <dxf>
      <font>
        <strike val="0"/>
        <outline val="0"/>
        <shadow val="0"/>
        <u val="none"/>
        <vertAlign val="baseline"/>
        <sz val="10"/>
        <color theme="0"/>
      </font>
      <fill>
        <patternFill patternType="solid">
          <fgColor indexed="64"/>
          <bgColor theme="1"/>
        </patternFill>
      </fill>
      <alignment horizontal="center" vertical="center" textRotation="0" wrapText="0" indent="0" justifyLastLine="0" shrinkToFit="0" readingOrder="0"/>
    </dxf>
    <dxf>
      <font>
        <strike val="0"/>
        <outline val="0"/>
        <shadow val="0"/>
        <u val="none"/>
        <vertAlign val="baseline"/>
        <sz val="10"/>
        <color theme="0"/>
      </font>
      <fill>
        <patternFill patternType="solid">
          <fgColor indexed="64"/>
          <bgColor theme="1" tint="0.34998626667073579"/>
        </patternFill>
      </fill>
      <alignment horizontal="center" vertical="center" textRotation="0" wrapText="0" indent="0" justifyLastLine="0" shrinkToFit="0" readingOrder="0"/>
    </dxf>
    <dxf>
      <font>
        <strike val="0"/>
        <outline val="0"/>
        <shadow val="0"/>
        <u val="none"/>
        <vertAlign val="baseline"/>
        <sz val="10"/>
        <color theme="0"/>
      </font>
      <fill>
        <patternFill patternType="solid">
          <fgColor indexed="64"/>
          <bgColor theme="1"/>
        </patternFill>
      </fill>
      <alignment horizontal="left" vertical="center" textRotation="0" wrapText="0" indent="0" justifyLastLine="0" shrinkToFit="0" readingOrder="0"/>
    </dxf>
    <dxf>
      <font>
        <b val="0"/>
        <i val="0"/>
        <strike val="0"/>
        <condense val="0"/>
        <extend val="0"/>
        <outline val="0"/>
        <shadow val="0"/>
        <u val="none"/>
        <vertAlign val="baseline"/>
        <sz val="10"/>
        <color theme="4" tint="-0.499984740745262"/>
        <name val="verdana"/>
        <family val="2"/>
        <scheme val="minor"/>
      </font>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dxf>
    <dxf>
      <font>
        <b val="0"/>
        <i val="0"/>
        <strike val="0"/>
        <condense val="0"/>
        <extend val="0"/>
        <outline val="0"/>
        <shadow val="0"/>
        <u val="none"/>
        <vertAlign val="baseline"/>
        <sz val="10"/>
        <color theme="4" tint="-0.499984740745262"/>
        <name val="verdana"/>
        <family val="2"/>
        <scheme val="minor"/>
      </font>
      <numFmt numFmtId="164" formatCode="_-&quot;$&quot;* #,##0.00_-;\-&quot;$&quot;* #,##0.00_-;_-&quot;$&quot;* &quot;-&quot;??_-;_-@_-"/>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dxf>
    <dxf>
      <font>
        <b val="0"/>
        <i val="0"/>
        <strike val="0"/>
        <condense val="0"/>
        <extend val="0"/>
        <outline val="0"/>
        <shadow val="0"/>
        <u val="none"/>
        <vertAlign val="baseline"/>
        <sz val="10"/>
        <color theme="4" tint="-0.499984740745262"/>
        <name val="verdana"/>
        <family val="2"/>
        <scheme val="minor"/>
      </font>
      <numFmt numFmtId="164" formatCode="_-&quot;$&quot;* #,##0.00_-;\-&quot;$&quot;* #,##0.00_-;_-&quot;$&quot;* &quot;-&quot;??_-;_-@_-"/>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dxf>
    <dxf>
      <font>
        <b val="0"/>
        <i val="0"/>
        <strike val="0"/>
        <condense val="0"/>
        <extend val="0"/>
        <outline val="0"/>
        <shadow val="0"/>
        <u val="none"/>
        <vertAlign val="baseline"/>
        <sz val="10"/>
        <color theme="4" tint="-0.499984740745262"/>
        <name val="verdana"/>
        <family val="2"/>
        <scheme val="minor"/>
      </font>
      <numFmt numFmtId="164" formatCode="_-&quot;$&quot;* #,##0.00_-;\-&quot;$&quot;* #,##0.00_-;_-&quot;$&quot;* &quot;-&quot;??_-;_-@_-"/>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dxf>
    <dxf>
      <font>
        <b val="0"/>
        <i val="0"/>
        <strike val="0"/>
        <condense val="0"/>
        <extend val="0"/>
        <outline val="0"/>
        <shadow val="0"/>
        <u val="none"/>
        <vertAlign val="baseline"/>
        <sz val="10"/>
        <color theme="4" tint="-0.499984740745262"/>
        <name val="verdana"/>
        <family val="2"/>
        <scheme val="minor"/>
      </font>
      <numFmt numFmtId="164" formatCode="_-&quot;$&quot;* #,##0.00_-;\-&quot;$&quot;* #,##0.00_-;_-&quot;$&quot;* &quot;-&quot;??_-;_-@_-"/>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dxf>
    <dxf>
      <font>
        <b val="0"/>
        <i val="0"/>
        <strike val="0"/>
        <condense val="0"/>
        <extend val="0"/>
        <outline val="0"/>
        <shadow val="0"/>
        <u val="none"/>
        <vertAlign val="baseline"/>
        <sz val="10"/>
        <color theme="4" tint="-0.499984740745262"/>
        <name val="verdana"/>
        <family val="2"/>
        <scheme val="minor"/>
      </font>
      <numFmt numFmtId="164" formatCode="_-&quot;$&quot;* #,##0.00_-;\-&quot;$&quot;* #,##0.00_-;_-&quot;$&quot;* &quot;-&quot;??_-;_-@_-"/>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dxf>
    <dxf>
      <font>
        <b val="0"/>
        <i val="0"/>
        <strike val="0"/>
        <condense val="0"/>
        <extend val="0"/>
        <outline val="0"/>
        <shadow val="0"/>
        <u val="none"/>
        <vertAlign val="baseline"/>
        <sz val="10"/>
        <color theme="4" tint="-0.499984740745262"/>
        <name val="verdana"/>
        <family val="2"/>
        <scheme val="minor"/>
      </font>
      <numFmt numFmtId="164" formatCode="_-&quot;$&quot;* #,##0.00_-;\-&quot;$&quot;* #,##0.00_-;_-&quot;$&quot;* &quot;-&quot;??_-;_-@_-"/>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dxf>
    <dxf>
      <font>
        <b val="0"/>
        <i val="0"/>
        <strike val="0"/>
        <condense val="0"/>
        <extend val="0"/>
        <outline val="0"/>
        <shadow val="0"/>
        <u val="none"/>
        <vertAlign val="baseline"/>
        <sz val="10"/>
        <color theme="4" tint="-0.499984740745262"/>
        <name val="verdana"/>
        <family val="2"/>
        <scheme val="minor"/>
      </font>
      <numFmt numFmtId="164" formatCode="_-&quot;$&quot;* #,##0.00_-;\-&quot;$&quot;* #,##0.00_-;_-&quot;$&quot;* &quot;-&quot;??_-;_-@_-"/>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dxf>
    <dxf>
      <font>
        <b val="0"/>
        <i val="0"/>
        <strike val="0"/>
        <condense val="0"/>
        <extend val="0"/>
        <outline val="0"/>
        <shadow val="0"/>
        <u val="none"/>
        <vertAlign val="baseline"/>
        <sz val="10"/>
        <color theme="4" tint="-0.499984740745262"/>
        <name val="verdana"/>
        <family val="2"/>
        <scheme val="minor"/>
      </font>
      <numFmt numFmtId="164" formatCode="_-&quot;$&quot;* #,##0.00_-;\-&quot;$&quot;* #,##0.00_-;_-&quot;$&quot;* &quot;-&quot;??_-;_-@_-"/>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dxf>
    <dxf>
      <font>
        <b val="0"/>
        <i val="0"/>
        <strike val="0"/>
        <condense val="0"/>
        <extend val="0"/>
        <outline val="0"/>
        <shadow val="0"/>
        <u val="none"/>
        <vertAlign val="baseline"/>
        <sz val="10"/>
        <color theme="4" tint="-0.499984740745262"/>
        <name val="verdana"/>
        <family val="2"/>
        <scheme val="minor"/>
      </font>
      <numFmt numFmtId="164" formatCode="_-&quot;$&quot;* #,##0.00_-;\-&quot;$&quot;* #,##0.00_-;_-&quot;$&quot;* &quot;-&quot;??_-;_-@_-"/>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dxf>
    <dxf>
      <font>
        <b val="0"/>
        <i val="0"/>
        <strike val="0"/>
        <condense val="0"/>
        <extend val="0"/>
        <outline val="0"/>
        <shadow val="0"/>
        <u val="none"/>
        <vertAlign val="baseline"/>
        <sz val="10"/>
        <color theme="4" tint="-0.499984740745262"/>
        <name val="verdana"/>
        <family val="2"/>
        <scheme val="minor"/>
      </font>
      <numFmt numFmtId="164" formatCode="_-&quot;$&quot;* #,##0.00_-;\-&quot;$&quot;* #,##0.00_-;_-&quot;$&quot;* &quot;-&quot;??_-;_-@_-"/>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dxf>
    <dxf>
      <font>
        <b val="0"/>
        <i val="0"/>
        <strike val="0"/>
        <condense val="0"/>
        <extend val="0"/>
        <outline val="0"/>
        <shadow val="0"/>
        <u val="none"/>
        <vertAlign val="baseline"/>
        <sz val="10"/>
        <color theme="4" tint="-0.499984740745262"/>
        <name val="verdana"/>
        <family val="2"/>
        <scheme val="minor"/>
      </font>
      <numFmt numFmtId="164" formatCode="_-&quot;$&quot;* #,##0.00_-;\-&quot;$&quot;* #,##0.00_-;_-&quot;$&quot;* &quot;-&quot;??_-;_-@_-"/>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dxf>
    <dxf>
      <font>
        <b val="0"/>
        <i val="0"/>
        <strike val="0"/>
        <condense val="0"/>
        <extend val="0"/>
        <outline val="0"/>
        <shadow val="0"/>
        <u val="none"/>
        <vertAlign val="baseline"/>
        <sz val="10"/>
        <color theme="4" tint="-0.499984740745262"/>
        <name val="verdana"/>
        <family val="2"/>
        <scheme val="minor"/>
      </font>
      <numFmt numFmtId="164" formatCode="_-&quot;$&quot;* #,##0.00_-;\-&quot;$&quot;* #,##0.00_-;_-&quot;$&quot;* &quot;-&quot;??_-;_-@_-"/>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dxf>
    <dxf>
      <font>
        <b val="0"/>
        <i val="0"/>
        <strike val="0"/>
        <condense val="0"/>
        <extend val="0"/>
        <outline val="0"/>
        <shadow val="0"/>
        <u val="none"/>
        <vertAlign val="baseline"/>
        <sz val="10"/>
        <color theme="4" tint="-0.499984740745262"/>
        <name val="verdana"/>
        <family val="2"/>
        <scheme val="minor"/>
      </font>
      <numFmt numFmtId="164" formatCode="_-&quot;$&quot;* #,##0.00_-;\-&quot;$&quot;* #,##0.00_-;_-&quot;$&quot;* &quot;-&quot;??_-;_-@_-"/>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dxf>
    <dxf>
      <font>
        <b val="0"/>
        <i val="0"/>
        <strike val="0"/>
        <condense val="0"/>
        <extend val="0"/>
        <outline val="0"/>
        <shadow val="0"/>
        <u val="none"/>
        <vertAlign val="baseline"/>
        <sz val="10"/>
        <color theme="4" tint="-0.499984740745262"/>
        <name val="verdana"/>
        <family val="2"/>
        <scheme val="minor"/>
      </font>
      <fill>
        <patternFill patternType="solid">
          <fgColor indexed="64"/>
          <bgColor theme="0" tint="-4.9989318521683403E-2"/>
        </patternFill>
      </fill>
      <alignment horizontal="left" vertical="center" textRotation="0" wrapText="0" indent="1" justifyLastLine="0" shrinkToFit="0" readingOrder="0"/>
      <border diagonalUp="0" diagonalDown="0" outline="0">
        <left style="medium">
          <color theme="4"/>
        </left>
        <right/>
        <top/>
        <bottom style="thick">
          <color theme="0"/>
        </bottom>
      </border>
    </dxf>
    <dxf>
      <font>
        <strike val="0"/>
        <outline val="0"/>
        <shadow val="0"/>
        <u val="none"/>
        <vertAlign val="baseline"/>
        <sz val="10"/>
        <color theme="0"/>
      </font>
      <fill>
        <patternFill patternType="solid">
          <fgColor indexed="64"/>
          <bgColor theme="1"/>
        </patternFill>
      </fill>
      <alignment horizontal="left" vertical="center" textRotation="0" wrapText="0" indent="0" justifyLastLine="0" shrinkToFit="0" readingOrder="0"/>
    </dxf>
    <dxf>
      <font>
        <strike val="0"/>
        <outline val="0"/>
        <shadow val="0"/>
        <u val="none"/>
        <vertAlign val="baseline"/>
        <sz val="10"/>
        <color theme="0"/>
      </font>
      <fill>
        <patternFill patternType="solid">
          <fgColor indexed="64"/>
          <bgColor theme="1" tint="0.34998626667073579"/>
        </patternFill>
      </fill>
      <alignment horizontal="center" vertical="center" textRotation="0" wrapText="0" indent="0" justifyLastLine="0" shrinkToFit="0" readingOrder="0"/>
    </dxf>
    <dxf>
      <fill>
        <patternFill patternType="solid">
          <fgColor indexed="64"/>
          <bgColor theme="0" tint="-4.9989318521683403E-2"/>
        </patternFill>
      </fill>
      <alignment horizontal="left" vertical="center" textRotation="0" wrapText="0" indent="0" justifyLastLine="0" shrinkToFit="0" readingOrder="0"/>
      <border diagonalUp="0" diagonalDown="0" outline="0">
        <left style="thick">
          <color theme="4"/>
        </left>
        <right/>
        <top/>
        <bottom style="thick">
          <color theme="0"/>
        </bottom>
      </border>
    </dxf>
    <dxf>
      <font>
        <color theme="5" tint="-0.499984740745262"/>
      </font>
      <fill>
        <patternFill patternType="solid">
          <fgColor indexed="64"/>
          <bgColor theme="0"/>
        </patternFill>
      </fill>
      <alignment horizontal="left" vertical="center" textRotation="0" wrapText="0" indent="0" justifyLastLine="0" shrinkToFit="0" readingOrder="0"/>
    </dxf>
    <dxf>
      <font>
        <b val="0"/>
        <i val="0"/>
        <strike val="0"/>
        <condense val="0"/>
        <extend val="0"/>
        <outline val="0"/>
        <shadow val="0"/>
        <u val="none"/>
        <vertAlign val="baseline"/>
        <sz val="10"/>
        <color theme="1"/>
        <name val="verdana"/>
        <family val="2"/>
        <scheme val="minor"/>
      </font>
      <fill>
        <patternFill patternType="solid">
          <fgColor indexed="64"/>
          <bgColor theme="4" tint="0.79998168889431442"/>
        </patternFill>
      </fill>
      <alignment horizontal="center" vertical="center" textRotation="0" wrapText="0" indent="0" justifyLastLine="0" shrinkToFit="0" readingOrder="0"/>
    </dxf>
    <dxf>
      <fill>
        <patternFill patternType="solid">
          <fgColor indexed="64"/>
          <bgColor theme="0" tint="-4.9989318521683403E-2"/>
        </patternFill>
      </fill>
      <alignment horizontal="left" vertical="center" textRotation="0" wrapText="0" indent="0" justifyLastLine="0" shrinkToFit="0" readingOrder="0"/>
      <border diagonalUp="0" diagonalDown="0" outline="0">
        <left style="thick">
          <color theme="4"/>
        </left>
        <right/>
        <top/>
        <bottom style="thick">
          <color theme="0"/>
        </bottom>
      </border>
    </dxf>
    <dxf>
      <fill>
        <patternFill patternType="solid">
          <fgColor indexed="64"/>
          <bgColor theme="0"/>
        </patternFill>
      </fill>
      <alignment horizontal="left" vertical="center" textRotation="0" wrapText="0" indent="0" justifyLastLine="0" shrinkToFit="0" readingOrder="0"/>
    </dxf>
    <dxf>
      <font>
        <b val="0"/>
        <i val="0"/>
        <strike val="0"/>
        <condense val="0"/>
        <extend val="0"/>
        <outline val="0"/>
        <shadow val="0"/>
        <u val="none"/>
        <vertAlign val="baseline"/>
        <sz val="10"/>
        <color theme="1"/>
        <name val="verdana"/>
        <family val="2"/>
        <scheme val="minor"/>
      </font>
      <fill>
        <patternFill patternType="solid">
          <fgColor indexed="64"/>
          <bgColor theme="4" tint="0.79998168889431442"/>
        </patternFill>
      </fill>
      <alignment horizontal="center" vertical="center" textRotation="0" wrapText="0" indent="0" justifyLastLine="0" shrinkToFit="0" readingOrder="0"/>
    </dxf>
    <dxf>
      <fill>
        <patternFill patternType="solid">
          <fgColor indexed="64"/>
          <bgColor theme="0" tint="-4.9989318521683403E-2"/>
        </patternFill>
      </fill>
      <alignment horizontal="left" vertical="center" textRotation="0" wrapText="0" indent="0" justifyLastLine="0" shrinkToFit="0" readingOrder="0"/>
      <border diagonalUp="0" diagonalDown="0" outline="0">
        <left style="thick">
          <color theme="5"/>
        </left>
        <right/>
        <top/>
        <bottom/>
      </border>
    </dxf>
    <dxf>
      <font>
        <color theme="5" tint="-0.499984740745262"/>
      </font>
      <fill>
        <patternFill patternType="solid">
          <fgColor indexed="64"/>
          <bgColor theme="0"/>
        </patternFill>
      </fill>
      <alignment horizontal="left" vertical="center" textRotation="0" wrapText="0" indent="0" justifyLastLine="0" shrinkToFit="0" readingOrder="0"/>
    </dxf>
    <dxf>
      <font>
        <b val="0"/>
        <i val="0"/>
        <strike val="0"/>
        <condense val="0"/>
        <extend val="0"/>
        <outline val="0"/>
        <shadow val="0"/>
        <u val="none"/>
        <vertAlign val="baseline"/>
        <sz val="10"/>
        <color theme="1"/>
        <name val="verdana"/>
        <family val="2"/>
        <scheme val="minor"/>
      </font>
      <fill>
        <patternFill patternType="solid">
          <fgColor indexed="64"/>
          <bgColor theme="5" tint="0.79998168889431442"/>
        </patternFill>
      </fill>
      <alignment horizontal="center" vertical="center" textRotation="0" wrapText="0" indent="0" justifyLastLine="0" shrinkToFit="0" readingOrder="0"/>
      <border diagonalUp="0" diagonalDown="0" outline="0">
        <left/>
        <right style="medium">
          <color theme="5" tint="0.79998168889431442"/>
        </right>
        <top/>
        <bottom/>
      </border>
    </dxf>
    <dxf>
      <fill>
        <patternFill patternType="solid">
          <fgColor indexed="64"/>
          <bgColor theme="0" tint="-4.9989318521683403E-2"/>
        </patternFill>
      </fill>
      <alignment horizontal="left" vertical="center" textRotation="0" wrapText="0" indent="0" justifyLastLine="0" shrinkToFit="0" readingOrder="0"/>
      <border diagonalUp="0" diagonalDown="0" outline="0">
        <left style="thick">
          <color theme="5"/>
        </left>
        <right/>
        <top/>
        <bottom style="thick">
          <color theme="0"/>
        </bottom>
      </border>
    </dxf>
    <dxf>
      <font>
        <color theme="5" tint="-0.499984740745262"/>
      </font>
      <fill>
        <patternFill patternType="solid">
          <fgColor indexed="64"/>
          <bgColor theme="0"/>
        </patternFill>
      </fill>
      <alignment horizontal="left" vertical="center" textRotation="0" wrapText="0" indent="0" justifyLastLine="0" shrinkToFit="0" readingOrder="0"/>
    </dxf>
    <dxf>
      <font>
        <color theme="1"/>
      </font>
      <fill>
        <patternFill patternType="solid">
          <fgColor indexed="64"/>
          <bgColor theme="5" tint="0.79998168889431442"/>
        </patternFill>
      </fill>
      <alignment horizontal="center" vertical="center" textRotation="0" wrapText="0" indent="0" justifyLastLine="0" shrinkToFit="0" readingOrder="0"/>
      <border diagonalUp="0" diagonalDown="0" outline="0">
        <left/>
        <right style="medium">
          <color theme="5" tint="0.79998168889431442"/>
        </right>
        <top/>
        <bottom/>
      </border>
    </dxf>
    <dxf>
      <fill>
        <patternFill patternType="solid">
          <fgColor indexed="64"/>
          <bgColor theme="0" tint="-4.9989318521683403E-2"/>
        </patternFill>
      </fill>
      <alignment horizontal="left" vertical="center" textRotation="0" wrapText="0" indent="0" justifyLastLine="0" shrinkToFit="0" readingOrder="0"/>
      <border diagonalUp="0" diagonalDown="0" outline="0">
        <left style="thick">
          <color theme="4"/>
        </left>
        <right/>
        <top/>
        <bottom style="thick">
          <color theme="0"/>
        </bottom>
      </border>
    </dxf>
    <dxf>
      <font>
        <color theme="5" tint="-0.499984740745262"/>
      </font>
      <fill>
        <patternFill patternType="solid">
          <fgColor indexed="64"/>
          <bgColor theme="0"/>
        </patternFill>
      </fill>
      <alignment horizontal="left" vertical="center" textRotation="0" wrapText="0" indent="0" justifyLastLine="0" shrinkToFit="0" readingOrder="0"/>
    </dxf>
    <dxf>
      <font>
        <color theme="1"/>
      </font>
      <fill>
        <patternFill patternType="solid">
          <fgColor indexed="64"/>
          <bgColor theme="4" tint="0.79998168889431442"/>
        </patternFill>
      </fill>
      <alignment horizontal="center" vertical="center" textRotation="0" wrapText="0" indent="0" justifyLastLine="0" shrinkToFit="0" readingOrder="0"/>
    </dxf>
    <dxf>
      <fill>
        <patternFill patternType="solid">
          <fgColor indexed="64"/>
          <bgColor theme="0" tint="-4.9989318521683403E-2"/>
        </patternFill>
      </fill>
      <alignment horizontal="left" vertical="center" textRotation="0" wrapText="0" indent="0" justifyLastLine="0" shrinkToFit="0" readingOrder="0"/>
      <border diagonalUp="0" diagonalDown="0" outline="0">
        <left style="thick">
          <color theme="4"/>
        </left>
        <right/>
        <top/>
        <bottom style="thick">
          <color theme="0"/>
        </bottom>
      </border>
    </dxf>
    <dxf>
      <font>
        <b val="0"/>
        <i val="0"/>
        <strike val="0"/>
        <condense val="0"/>
        <extend val="0"/>
        <outline val="0"/>
        <shadow val="0"/>
        <u val="none"/>
        <vertAlign val="baseline"/>
        <sz val="10"/>
        <color theme="5" tint="-0.499984740745262"/>
        <name val="verdana"/>
        <family val="2"/>
        <scheme val="minor"/>
      </font>
      <fill>
        <patternFill patternType="solid">
          <fgColor indexed="64"/>
          <bgColor theme="0"/>
        </patternFill>
      </fill>
      <alignment horizontal="left" vertical="center" textRotation="0" wrapText="0" indent="0" justifyLastLine="0" shrinkToFit="0" readingOrder="0"/>
    </dxf>
    <dxf>
      <font>
        <b val="0"/>
        <i val="0"/>
        <strike val="0"/>
        <condense val="0"/>
        <extend val="0"/>
        <outline val="0"/>
        <shadow val="0"/>
        <u val="none"/>
        <vertAlign val="baseline"/>
        <sz val="10"/>
        <color theme="1"/>
        <name val="verdana"/>
        <family val="2"/>
        <scheme val="minor"/>
      </font>
      <fill>
        <patternFill patternType="solid">
          <fgColor indexed="64"/>
          <bgColor theme="4" tint="0.79998168889431442"/>
        </patternFill>
      </fill>
      <alignment horizontal="center" vertical="center" textRotation="0" wrapText="0" indent="0" justifyLastLine="0" shrinkToFit="0" readingOrder="0"/>
    </dxf>
    <dxf>
      <fill>
        <patternFill patternType="solid">
          <fgColor indexed="64"/>
          <bgColor theme="0" tint="-4.9989318521683403E-2"/>
        </patternFill>
      </fill>
      <alignment horizontal="left" vertical="center" textRotation="0" wrapText="0" indent="0" justifyLastLine="0" shrinkToFit="0" readingOrder="0"/>
      <border diagonalUp="0" diagonalDown="0" outline="0">
        <left style="thick">
          <color theme="5"/>
        </left>
        <right/>
        <top/>
        <bottom style="thick">
          <color theme="0"/>
        </bottom>
      </border>
    </dxf>
    <dxf>
      <fill>
        <patternFill patternType="solid">
          <fgColor indexed="64"/>
          <bgColor theme="0"/>
        </patternFill>
      </fill>
      <alignment horizontal="left" vertical="center" textRotation="0" wrapText="0" indent="0" justifyLastLine="0" shrinkToFit="0" readingOrder="0"/>
    </dxf>
    <dxf>
      <alignment horizontal="center" vertical="center" textRotation="0" wrapText="0" indent="0" justifyLastLine="0" shrinkToFit="0" readingOrder="0"/>
    </dxf>
    <dxf>
      <fill>
        <patternFill patternType="solid">
          <fgColor indexed="64"/>
          <bgColor theme="0" tint="-4.9989318521683403E-2"/>
        </patternFill>
      </fill>
      <alignment horizontal="left" vertical="center" textRotation="0" wrapText="0" indent="0" justifyLastLine="0" shrinkToFit="0" readingOrder="0"/>
      <border diagonalUp="0" diagonalDown="0" outline="0">
        <left style="thick">
          <color theme="5"/>
        </left>
        <right/>
        <top/>
        <bottom/>
      </border>
    </dxf>
    <dxf>
      <fill>
        <patternFill patternType="solid">
          <fgColor indexed="64"/>
          <bgColor theme="0"/>
        </patternFill>
      </fill>
      <alignment horizontal="left" vertical="center" textRotation="0" wrapText="0" indent="0" justifyLastLine="0" shrinkToFit="0" readingOrder="0"/>
    </dxf>
    <dxf>
      <font>
        <b val="0"/>
        <i val="0"/>
        <strike val="0"/>
        <condense val="0"/>
        <extend val="0"/>
        <outline val="0"/>
        <shadow val="0"/>
        <u val="none"/>
        <vertAlign val="baseline"/>
        <sz val="10"/>
        <color theme="1"/>
        <name val="verdana"/>
        <family val="2"/>
        <scheme val="minor"/>
      </font>
      <fill>
        <patternFill patternType="solid">
          <fgColor indexed="64"/>
          <bgColor theme="5" tint="0.79998168889431442"/>
        </patternFill>
      </fill>
      <alignment horizontal="center" vertical="center" textRotation="0" wrapText="0" indent="0" justifyLastLine="0" shrinkToFit="0" readingOrder="0"/>
    </dxf>
    <dxf>
      <fill>
        <patternFill patternType="solid">
          <fgColor indexed="64"/>
          <bgColor theme="0" tint="-4.9989318521683403E-2"/>
        </patternFill>
      </fill>
      <alignment horizontal="left" vertical="center" textRotation="0" wrapText="0" indent="0" justifyLastLine="0" shrinkToFit="0" readingOrder="0"/>
      <border diagonalUp="0" diagonalDown="0" outline="0">
        <left style="thick">
          <color theme="4"/>
        </left>
        <right/>
        <top/>
        <bottom/>
      </border>
    </dxf>
    <dxf>
      <fill>
        <patternFill patternType="solid">
          <fgColor indexed="64"/>
          <bgColor theme="0"/>
        </patternFill>
      </fill>
      <alignment horizontal="left" vertical="center" textRotation="0" wrapText="0" indent="0" justifyLastLine="0" shrinkToFit="0" readingOrder="0"/>
    </dxf>
    <dxf>
      <font>
        <color theme="1"/>
      </font>
      <fill>
        <patternFill patternType="solid">
          <fgColor indexed="64"/>
          <bgColor theme="4" tint="0.79998168889431442"/>
        </patternFill>
      </fill>
      <alignment horizontal="center" vertical="center" textRotation="0" wrapText="0" indent="0" justifyLastLine="0" shrinkToFit="0" readingOrder="0"/>
    </dxf>
    <dxf>
      <fill>
        <patternFill patternType="solid">
          <fgColor indexed="64"/>
          <bgColor theme="0" tint="-4.9989318521683403E-2"/>
        </patternFill>
      </fill>
      <alignment horizontal="left" vertical="center" textRotation="0" wrapText="0" indent="0" justifyLastLine="0" shrinkToFit="0" readingOrder="0"/>
      <border diagonalUp="0" diagonalDown="0" outline="0">
        <left style="thick">
          <color theme="4"/>
        </left>
        <right/>
        <top/>
        <bottom/>
      </border>
    </dxf>
    <dxf>
      <fill>
        <patternFill patternType="solid">
          <fgColor indexed="64"/>
          <bgColor theme="0"/>
        </patternFill>
      </fill>
      <alignment horizontal="left" vertical="center" textRotation="0" wrapText="0" indent="0" justifyLastLine="0" shrinkToFit="0" readingOrder="0"/>
    </dxf>
    <dxf>
      <font>
        <color theme="1"/>
      </font>
      <fill>
        <patternFill patternType="solid">
          <fgColor indexed="64"/>
          <bgColor theme="4"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5" tint="-0.499984740745262"/>
        <name val="verdana"/>
        <family val="2"/>
        <scheme val="minor"/>
      </font>
      <fill>
        <patternFill patternType="solid">
          <fgColor indexed="64"/>
          <bgColor theme="0" tint="-4.9989318521683403E-2"/>
        </patternFill>
      </fill>
      <alignment horizontal="left" vertical="center" textRotation="0" wrapText="0" indent="0" justifyLastLine="0" shrinkToFit="0" readingOrder="0"/>
      <border diagonalUp="0" diagonalDown="0" outline="0">
        <left style="thin">
          <color theme="5"/>
        </left>
        <right/>
        <top/>
        <bottom style="thick">
          <color theme="0"/>
        </bottom>
      </border>
    </dxf>
    <dxf>
      <fill>
        <patternFill patternType="solid">
          <fgColor indexed="64"/>
          <bgColor theme="0"/>
        </patternFill>
      </fill>
      <alignment horizontal="left" vertical="center" textRotation="0" wrapText="0" indent="0" justifyLastLine="0" shrinkToFit="0" readingOrder="0"/>
    </dxf>
    <dxf>
      <font>
        <strike val="0"/>
        <outline val="0"/>
        <shadow val="0"/>
        <u val="none"/>
        <vertAlign val="baseline"/>
        <sz val="10"/>
        <color auto="1"/>
        <name val="verdana"/>
        <scheme val="minor"/>
      </font>
      <fill>
        <patternFill patternType="none">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4" tint="-0.499984740745262"/>
        <name val="verdana"/>
        <family val="2"/>
        <scheme val="minor"/>
      </font>
      <fill>
        <patternFill patternType="solid">
          <fgColor indexed="64"/>
          <bgColor theme="0" tint="-4.9989318521683403E-2"/>
        </patternFill>
      </fill>
      <alignment horizontal="left" vertical="center" textRotation="0" wrapText="0" indent="0" justifyLastLine="0" shrinkToFit="0" readingOrder="0"/>
    </dxf>
    <dxf>
      <fill>
        <patternFill patternType="solid">
          <fgColor indexed="64"/>
          <bgColor theme="0"/>
        </patternFill>
      </fill>
      <alignment horizontal="left" vertical="center" textRotation="0" wrapText="0" indent="0" justifyLastLine="0" shrinkToFit="0" readingOrder="0"/>
    </dxf>
    <dxf>
      <fill>
        <patternFill>
          <fgColor indexed="64"/>
          <bgColor theme="0"/>
        </patternFill>
      </fill>
      <alignment horizontal="center" vertical="center" textRotation="0" wrapText="0" indent="0" justifyLastLine="0" shrinkToFit="0" readingOrder="0"/>
    </dxf>
    <dxf>
      <font>
        <strike val="0"/>
        <outline val="0"/>
        <shadow val="0"/>
        <u val="none"/>
        <vertAlign val="baseline"/>
        <sz val="10"/>
        <color theme="0"/>
      </font>
      <fill>
        <patternFill patternType="solid">
          <fgColor indexed="64"/>
          <bgColor theme="1"/>
        </patternFill>
      </fill>
      <alignment horizontal="center" vertical="center" textRotation="0" wrapText="0" indent="0" justifyLastLine="0" shrinkToFit="0" readingOrder="0"/>
    </dxf>
    <dxf>
      <font>
        <strike val="0"/>
        <outline val="0"/>
        <shadow val="0"/>
        <u val="none"/>
        <vertAlign val="baseline"/>
        <sz val="10"/>
        <color theme="0"/>
        <name val="Gill Sans MT"/>
        <scheme val="major"/>
      </font>
      <fill>
        <patternFill patternType="solid">
          <fgColor indexed="64"/>
          <bgColor theme="1"/>
        </patternFill>
      </fill>
      <alignment horizontal="center" vertical="center" textRotation="0" wrapText="0" indent="0" justifyLastLine="0" shrinkToFit="0" readingOrder="0"/>
    </dxf>
    <dxf>
      <font>
        <strike val="0"/>
        <outline val="0"/>
        <shadow val="0"/>
        <u val="none"/>
        <vertAlign val="baseline"/>
        <sz val="10"/>
        <color theme="0"/>
      </font>
      <numFmt numFmtId="165" formatCode="&quot;$&quot;#,##0.00"/>
      <fill>
        <patternFill patternType="solid">
          <fgColor indexed="64"/>
          <bgColor theme="1"/>
        </patternFill>
      </fill>
      <alignment horizontal="center" vertical="center" textRotation="0" wrapText="0" indent="0" justifyLastLine="0" shrinkToFit="0" readingOrder="0"/>
    </dxf>
    <dxf>
      <font>
        <strike val="0"/>
        <outline val="0"/>
        <shadow val="0"/>
        <u val="none"/>
        <vertAlign val="baseline"/>
        <sz val="10"/>
        <color theme="0"/>
      </font>
      <fill>
        <patternFill patternType="solid">
          <fgColor indexed="64"/>
          <bgColor theme="1" tint="0.34998626667073579"/>
        </patternFill>
      </fill>
      <alignment horizontal="center" vertical="center" textRotation="0" wrapText="0" indent="0" justifyLastLine="0" shrinkToFit="0" readingOrder="0"/>
    </dxf>
    <dxf>
      <font>
        <strike val="0"/>
        <outline val="0"/>
        <shadow val="0"/>
        <u val="none"/>
        <vertAlign val="baseline"/>
        <sz val="10"/>
        <color theme="0"/>
      </font>
      <fill>
        <patternFill patternType="solid">
          <fgColor indexed="64"/>
          <bgColor theme="1"/>
        </patternFill>
      </fill>
      <alignment horizontal="center" vertical="center" textRotation="0" wrapText="0" indent="0" justifyLastLine="0" shrinkToFit="0" readingOrder="0"/>
    </dxf>
    <dxf>
      <font>
        <strike val="0"/>
        <outline val="0"/>
        <shadow val="0"/>
        <u val="none"/>
        <vertAlign val="baseline"/>
        <sz val="10"/>
        <color theme="0"/>
      </font>
      <fill>
        <patternFill patternType="solid">
          <fgColor indexed="64"/>
          <bgColor theme="1" tint="0.34998626667073579"/>
        </patternFill>
      </fill>
      <alignment horizontal="center" vertical="center" textRotation="0" wrapText="0" indent="0" justifyLastLine="0" shrinkToFit="0" readingOrder="0"/>
    </dxf>
    <dxf>
      <font>
        <strike val="0"/>
        <outline val="0"/>
        <shadow val="0"/>
        <u val="none"/>
        <vertAlign val="baseline"/>
        <sz val="10"/>
        <color theme="0"/>
      </font>
      <fill>
        <patternFill patternType="solid">
          <fgColor indexed="64"/>
          <bgColor theme="1"/>
        </patternFill>
      </fill>
      <alignment horizontal="center" vertical="center" textRotation="0" wrapText="0" indent="0" justifyLastLine="0" shrinkToFit="0" readingOrder="0"/>
    </dxf>
    <dxf>
      <font>
        <strike val="0"/>
        <outline val="0"/>
        <shadow val="0"/>
        <u val="none"/>
        <vertAlign val="baseline"/>
        <sz val="10"/>
        <color theme="0"/>
      </font>
      <fill>
        <patternFill patternType="solid">
          <fgColor indexed="64"/>
          <bgColor theme="1" tint="0.34998626667073579"/>
        </patternFill>
      </fill>
      <alignment horizontal="center" vertical="center" textRotation="0" wrapText="0" indent="0" justifyLastLine="0" shrinkToFit="0" readingOrder="0"/>
    </dxf>
    <dxf>
      <font>
        <strike val="0"/>
        <outline val="0"/>
        <shadow val="0"/>
        <u val="none"/>
        <vertAlign val="baseline"/>
        <sz val="10"/>
        <color theme="0"/>
      </font>
      <fill>
        <patternFill patternType="solid">
          <fgColor indexed="64"/>
          <bgColor theme="1"/>
        </patternFill>
      </fill>
      <alignment horizontal="center" vertical="center" textRotation="0" wrapText="0" indent="0" justifyLastLine="0" shrinkToFit="0" readingOrder="0"/>
    </dxf>
    <dxf>
      <font>
        <strike val="0"/>
        <outline val="0"/>
        <shadow val="0"/>
        <u val="none"/>
        <vertAlign val="baseline"/>
        <sz val="10"/>
        <color theme="0"/>
      </font>
      <fill>
        <patternFill patternType="solid">
          <fgColor indexed="64"/>
          <bgColor theme="1" tint="0.34998626667073579"/>
        </patternFill>
      </fill>
      <alignment horizontal="center" vertical="center" textRotation="0" wrapText="0" indent="0" justifyLastLine="0" shrinkToFit="0" readingOrder="0"/>
    </dxf>
    <dxf>
      <font>
        <strike val="0"/>
        <outline val="0"/>
        <shadow val="0"/>
        <u val="none"/>
        <vertAlign val="baseline"/>
        <sz val="10"/>
        <color theme="0"/>
      </font>
      <fill>
        <patternFill patternType="solid">
          <fgColor indexed="64"/>
          <bgColor theme="1"/>
        </patternFill>
      </fill>
      <alignment horizontal="center" vertical="center" textRotation="0" wrapText="0" indent="0" justifyLastLine="0" shrinkToFit="0" readingOrder="0"/>
    </dxf>
    <dxf>
      <font>
        <strike val="0"/>
        <outline val="0"/>
        <shadow val="0"/>
        <u val="none"/>
        <vertAlign val="baseline"/>
        <sz val="10"/>
        <color theme="0"/>
      </font>
      <fill>
        <patternFill patternType="solid">
          <fgColor indexed="64"/>
          <bgColor theme="1" tint="0.34998626667073579"/>
        </patternFill>
      </fill>
      <alignment horizontal="center" vertical="center" textRotation="0" wrapText="0" indent="0" justifyLastLine="0" shrinkToFit="0" readingOrder="0"/>
    </dxf>
    <dxf>
      <font>
        <strike val="0"/>
        <outline val="0"/>
        <shadow val="0"/>
        <u val="none"/>
        <vertAlign val="baseline"/>
        <sz val="10"/>
        <color theme="0"/>
      </font>
      <fill>
        <patternFill patternType="solid">
          <fgColor indexed="64"/>
          <bgColor theme="1"/>
        </patternFill>
      </fill>
      <alignment horizontal="center" vertical="center" textRotation="0" wrapText="0" indent="0" justifyLastLine="0" shrinkToFit="0" readingOrder="0"/>
    </dxf>
    <dxf>
      <font>
        <strike val="0"/>
        <outline val="0"/>
        <shadow val="0"/>
        <u val="none"/>
        <vertAlign val="baseline"/>
        <sz val="10"/>
        <color theme="0"/>
      </font>
      <fill>
        <patternFill patternType="solid">
          <fgColor indexed="64"/>
          <bgColor theme="1" tint="0.34998626667073579"/>
        </patternFill>
      </fill>
      <alignment horizontal="center" vertical="center" textRotation="0" wrapText="0" indent="0" justifyLastLine="0" shrinkToFit="0" readingOrder="0"/>
    </dxf>
    <dxf>
      <font>
        <strike val="0"/>
        <outline val="0"/>
        <shadow val="0"/>
        <u val="none"/>
        <vertAlign val="baseline"/>
        <sz val="10"/>
        <color theme="0"/>
      </font>
      <fill>
        <patternFill patternType="solid">
          <fgColor indexed="64"/>
          <bgColor theme="1"/>
        </patternFill>
      </fill>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dxf>
    <dxf>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thick">
          <color theme="0"/>
        </bottom>
      </border>
    </dxf>
    <dxf>
      <numFmt numFmtId="166" formatCode="#,##0.00\ &quot;€&quot;"/>
      <fill>
        <patternFill patternType="none">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4" tint="0.59999389629810485"/>
        </patternFill>
      </fill>
      <alignment horizontal="center" vertical="center" textRotation="0" wrapText="0" indent="0" justifyLastLine="0" shrinkToFit="0" readingOrder="0"/>
      <border diagonalUp="0" diagonalDown="0" outline="0">
        <left/>
        <right/>
        <top/>
        <bottom style="thick">
          <color theme="0"/>
        </bottom>
      </border>
    </dxf>
    <dxf>
      <alignment horizontal="center" vertical="center" textRotation="0" wrapText="0" indent="0" justifyLastLine="0" shrinkToFit="0" readingOrder="0"/>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thick">
          <color theme="0"/>
        </bottom>
      </border>
    </dxf>
    <dxf>
      <font>
        <color theme="1"/>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4" tint="0.59999389629810485"/>
        </patternFill>
      </fill>
      <alignment horizontal="center" vertical="center" textRotation="0" wrapText="0" indent="0" justifyLastLine="0" shrinkToFit="0" readingOrder="0"/>
      <border diagonalUp="0" diagonalDown="0" outline="0">
        <left/>
        <right/>
        <top/>
        <bottom style="thick">
          <color theme="0"/>
        </bottom>
      </border>
    </dxf>
    <dxf>
      <font>
        <b val="0"/>
        <i val="0"/>
        <strike val="0"/>
        <condense val="0"/>
        <extend val="0"/>
        <outline val="0"/>
        <shadow val="0"/>
        <u val="none"/>
        <vertAlign val="baseline"/>
        <sz val="10"/>
        <color theme="1"/>
        <name val="verdana"/>
        <family val="2"/>
        <scheme val="minor"/>
      </font>
      <fill>
        <patternFill patternType="solid">
          <fgColor indexed="64"/>
          <bgColor theme="4"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thick">
          <color theme="0"/>
        </bottom>
      </border>
    </dxf>
    <dxf>
      <font>
        <color theme="1"/>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4" tint="0.59999389629810485"/>
        </patternFill>
      </fill>
      <alignment horizontal="center" vertical="center" textRotation="0" wrapText="0" indent="0" justifyLastLine="0" shrinkToFit="0" readingOrder="0"/>
      <border diagonalUp="0" diagonalDown="0" outline="0">
        <left/>
        <right/>
        <top/>
        <bottom style="thick">
          <color theme="0"/>
        </bottom>
      </border>
    </dxf>
    <dxf>
      <font>
        <b val="0"/>
        <i val="0"/>
        <strike val="0"/>
        <condense val="0"/>
        <extend val="0"/>
        <outline val="0"/>
        <shadow val="0"/>
        <u val="none"/>
        <vertAlign val="baseline"/>
        <sz val="10"/>
        <color theme="1"/>
        <name val="verdana"/>
        <family val="2"/>
        <scheme val="minor"/>
      </font>
      <fill>
        <patternFill patternType="solid">
          <fgColor indexed="64"/>
          <bgColor theme="4"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thick">
          <color theme="0"/>
        </bottom>
      </border>
    </dxf>
    <dxf>
      <font>
        <color theme="1"/>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4" tint="0.59999389629810485"/>
        </patternFill>
      </fill>
      <alignment horizontal="center" vertical="center" textRotation="0" wrapText="0" indent="0" justifyLastLine="0" shrinkToFit="0" readingOrder="0"/>
      <border diagonalUp="0" diagonalDown="0" outline="0">
        <left/>
        <right/>
        <top/>
        <bottom style="thick">
          <color theme="0"/>
        </bottom>
      </border>
    </dxf>
    <dxf>
      <font>
        <b val="0"/>
        <i val="0"/>
        <strike val="0"/>
        <condense val="0"/>
        <extend val="0"/>
        <outline val="0"/>
        <shadow val="0"/>
        <u val="none"/>
        <vertAlign val="baseline"/>
        <sz val="10"/>
        <color theme="1"/>
        <name val="verdana"/>
        <family val="2"/>
        <scheme val="minor"/>
      </font>
      <fill>
        <patternFill patternType="solid">
          <fgColor indexed="64"/>
          <bgColor theme="4"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thick">
          <color theme="0"/>
        </bottom>
      </border>
    </dxf>
    <dxf>
      <font>
        <color theme="1"/>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4" tint="0.59999389629810485"/>
        </patternFill>
      </fill>
      <alignment horizontal="center" vertical="center" textRotation="0" wrapText="0" indent="0" justifyLastLine="0" shrinkToFit="0" readingOrder="0"/>
      <border diagonalUp="0" diagonalDown="0" outline="0">
        <left/>
        <right/>
        <top/>
        <bottom style="thick">
          <color theme="0"/>
        </bottom>
      </border>
    </dxf>
    <dxf>
      <font>
        <b val="0"/>
        <i val="0"/>
        <strike val="0"/>
        <condense val="0"/>
        <extend val="0"/>
        <outline val="0"/>
        <shadow val="0"/>
        <u val="none"/>
        <vertAlign val="baseline"/>
        <sz val="10"/>
        <color theme="1"/>
        <name val="verdana"/>
        <family val="2"/>
        <scheme val="minor"/>
      </font>
      <fill>
        <patternFill patternType="solid">
          <fgColor indexed="64"/>
          <bgColor theme="4"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thick">
          <color theme="0"/>
        </bottom>
      </border>
    </dxf>
    <dxf>
      <font>
        <color theme="1"/>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4" tint="0.59999389629810485"/>
        </patternFill>
      </fill>
      <alignment horizontal="center" vertical="center" textRotation="0" wrapText="0" indent="0" justifyLastLine="0" shrinkToFit="0" readingOrder="0"/>
      <border diagonalUp="0" diagonalDown="0" outline="0">
        <left/>
        <right/>
        <top/>
        <bottom style="thick">
          <color theme="0"/>
        </bottom>
      </border>
    </dxf>
    <dxf>
      <font>
        <b val="0"/>
        <i val="0"/>
        <strike val="0"/>
        <condense val="0"/>
        <extend val="0"/>
        <outline val="0"/>
        <shadow val="0"/>
        <u val="none"/>
        <vertAlign val="baseline"/>
        <sz val="10"/>
        <color theme="1"/>
        <name val="verdana"/>
        <family val="2"/>
        <scheme val="minor"/>
      </font>
      <fill>
        <patternFill patternType="solid">
          <fgColor indexed="64"/>
          <bgColor theme="4"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thick">
          <color theme="0"/>
        </bottom>
      </border>
    </dxf>
    <dxf>
      <font>
        <color theme="1"/>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4" tint="0.59999389629810485"/>
        </patternFill>
      </fill>
      <alignment horizontal="center" vertical="center" textRotation="0" wrapText="0" indent="0" justifyLastLine="0" shrinkToFit="0" readingOrder="0"/>
      <border diagonalUp="0" diagonalDown="0" outline="0">
        <left/>
        <right/>
        <top/>
        <bottom style="thick">
          <color theme="0"/>
        </bottom>
      </border>
    </dxf>
    <dxf>
      <fill>
        <patternFill patternType="none">
          <bgColor auto="1"/>
        </patternFill>
      </fill>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dxf>
    <dxf>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thick">
          <color theme="0"/>
        </bottom>
      </border>
    </dxf>
    <dxf>
      <numFmt numFmtId="166" formatCode="#,##0.00\ &quot;€&quot;"/>
      <fill>
        <patternFill patternType="none">
          <fgColor indexed="64"/>
          <bgColor theme="0"/>
        </patternFill>
      </fill>
      <alignment horizontal="center" vertical="center" textRotation="0" wrapText="0" indent="0" justifyLastLine="0" shrinkToFit="0" readingOrder="0"/>
    </dxf>
    <dxf>
      <numFmt numFmtId="164" formatCode="_-&quot;$&quot;* #,##0.00_-;\-&quot;$&quot;* #,##0.00_-;_-&quot;$&quot;* &quot;-&quot;??_-;_-@_-"/>
      <fill>
        <patternFill patternType="solid">
          <fgColor indexed="64"/>
          <bgColor theme="4" tint="0.59999389629810485"/>
        </patternFill>
      </fill>
      <alignment horizontal="center" vertical="center" textRotation="0" wrapText="0" indent="0" justifyLastLine="0" shrinkToFit="0" readingOrder="0"/>
      <border diagonalUp="0" diagonalDown="0" outline="0">
        <left/>
        <right/>
        <top/>
        <bottom style="thick">
          <color theme="0"/>
        </bottom>
      </border>
    </dxf>
    <dxf>
      <alignment horizontal="center" vertical="center" textRotation="0" wrapText="0" indent="0" justifyLastLine="0" shrinkToFit="0" readingOrder="0"/>
    </dxf>
    <dxf>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thick">
          <color theme="0"/>
        </bottom>
      </border>
    </dxf>
    <dxf>
      <font>
        <color theme="1"/>
      </font>
      <fill>
        <patternFill patternType="solid">
          <fgColor indexed="64"/>
          <bgColor theme="0"/>
        </patternFill>
      </fill>
      <alignment horizontal="center" vertical="center" textRotation="0" wrapText="0" indent="0" justifyLastLine="0" shrinkToFit="0" readingOrder="0"/>
    </dxf>
    <dxf>
      <numFmt numFmtId="164" formatCode="_-&quot;$&quot;* #,##0.00_-;\-&quot;$&quot;* #,##0.00_-;_-&quot;$&quot;* &quot;-&quot;??_-;_-@_-"/>
      <fill>
        <patternFill patternType="solid">
          <fgColor indexed="64"/>
          <bgColor theme="4" tint="0.59999389629810485"/>
        </patternFill>
      </fill>
      <alignment horizontal="center" vertical="center" textRotation="0" wrapText="0" indent="0" justifyLastLine="0" shrinkToFit="0" readingOrder="0"/>
      <border diagonalUp="0" diagonalDown="0" outline="0">
        <left/>
        <right/>
        <top/>
        <bottom style="thick">
          <color theme="0"/>
        </bottom>
      </border>
    </dxf>
    <dxf>
      <font>
        <b val="0"/>
        <i val="0"/>
        <strike val="0"/>
        <condense val="0"/>
        <extend val="0"/>
        <outline val="0"/>
        <shadow val="0"/>
        <u val="none"/>
        <vertAlign val="baseline"/>
        <sz val="10"/>
        <color theme="1"/>
        <name val="verdana"/>
        <family val="2"/>
        <scheme val="minor"/>
      </font>
      <fill>
        <patternFill patternType="solid">
          <fgColor indexed="64"/>
          <bgColor theme="4" tint="0.79998168889431442"/>
        </patternFill>
      </fill>
      <alignment horizontal="center" vertical="center" textRotation="0" wrapText="0" indent="0" justifyLastLine="0" shrinkToFit="0" readingOrder="0"/>
    </dxf>
    <dxf>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thick">
          <color theme="0"/>
        </bottom>
      </border>
    </dxf>
    <dxf>
      <font>
        <color theme="1"/>
      </font>
      <fill>
        <patternFill patternType="solid">
          <fgColor indexed="64"/>
          <bgColor theme="0"/>
        </patternFill>
      </fill>
      <alignment horizontal="center" vertical="center" textRotation="0" wrapText="0" indent="0" justifyLastLine="0" shrinkToFit="0" readingOrder="0"/>
    </dxf>
    <dxf>
      <numFmt numFmtId="164" formatCode="_-&quot;$&quot;* #,##0.00_-;\-&quot;$&quot;* #,##0.00_-;_-&quot;$&quot;* &quot;-&quot;??_-;_-@_-"/>
      <fill>
        <patternFill patternType="solid">
          <fgColor indexed="64"/>
          <bgColor theme="4" tint="0.59999389629810485"/>
        </patternFill>
      </fill>
      <alignment horizontal="center" vertical="center" textRotation="0" wrapText="0" indent="0" justifyLastLine="0" shrinkToFit="0" readingOrder="0"/>
      <border diagonalUp="0" diagonalDown="0" outline="0">
        <left/>
        <right/>
        <top/>
        <bottom style="thick">
          <color theme="0"/>
        </bottom>
      </border>
    </dxf>
    <dxf>
      <font>
        <b val="0"/>
        <i val="0"/>
        <strike val="0"/>
        <condense val="0"/>
        <extend val="0"/>
        <outline val="0"/>
        <shadow val="0"/>
        <u val="none"/>
        <vertAlign val="baseline"/>
        <sz val="10"/>
        <color theme="1"/>
        <name val="verdana"/>
        <family val="2"/>
        <scheme val="minor"/>
      </font>
      <fill>
        <patternFill patternType="solid">
          <fgColor indexed="64"/>
          <bgColor theme="4" tint="0.79998168889431442"/>
        </patternFill>
      </fill>
      <alignment horizontal="center" vertical="center" textRotation="0" wrapText="0" indent="0" justifyLastLine="0" shrinkToFit="0" readingOrder="0"/>
    </dxf>
    <dxf>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thick">
          <color theme="0"/>
        </bottom>
      </border>
    </dxf>
    <dxf>
      <font>
        <color theme="1"/>
      </font>
      <fill>
        <patternFill patternType="solid">
          <fgColor indexed="64"/>
          <bgColor theme="0"/>
        </patternFill>
      </fill>
      <alignment horizontal="center" vertical="center" textRotation="0" wrapText="0" indent="0" justifyLastLine="0" shrinkToFit="0" readingOrder="0"/>
    </dxf>
    <dxf>
      <numFmt numFmtId="164" formatCode="_-&quot;$&quot;* #,##0.00_-;\-&quot;$&quot;* #,##0.00_-;_-&quot;$&quot;* &quot;-&quot;??_-;_-@_-"/>
      <fill>
        <patternFill patternType="solid">
          <fgColor indexed="64"/>
          <bgColor theme="4" tint="0.59999389629810485"/>
        </patternFill>
      </fill>
      <alignment horizontal="center" vertical="center" textRotation="0" wrapText="0" indent="0" justifyLastLine="0" shrinkToFit="0" readingOrder="0"/>
      <border diagonalUp="0" diagonalDown="0" outline="0">
        <left/>
        <right/>
        <top/>
        <bottom style="thick">
          <color theme="0"/>
        </bottom>
      </border>
    </dxf>
    <dxf>
      <font>
        <b val="0"/>
        <i val="0"/>
        <strike val="0"/>
        <condense val="0"/>
        <extend val="0"/>
        <outline val="0"/>
        <shadow val="0"/>
        <u val="none"/>
        <vertAlign val="baseline"/>
        <sz val="10"/>
        <color theme="1"/>
        <name val="verdana"/>
        <family val="2"/>
        <scheme val="minor"/>
      </font>
      <fill>
        <patternFill patternType="solid">
          <fgColor indexed="64"/>
          <bgColor theme="4" tint="0.79998168889431442"/>
        </patternFill>
      </fill>
      <alignment horizontal="center" vertical="center" textRotation="0" wrapText="0" indent="0" justifyLastLine="0" shrinkToFit="0" readingOrder="0"/>
    </dxf>
    <dxf>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thick">
          <color theme="0"/>
        </bottom>
      </border>
    </dxf>
    <dxf>
      <font>
        <color theme="1"/>
      </font>
      <fill>
        <patternFill patternType="solid">
          <fgColor indexed="64"/>
          <bgColor theme="0"/>
        </patternFill>
      </fill>
      <alignment horizontal="center" vertical="center" textRotation="0" wrapText="0" indent="0" justifyLastLine="0" shrinkToFit="0" readingOrder="0"/>
    </dxf>
    <dxf>
      <numFmt numFmtId="164" formatCode="_-&quot;$&quot;* #,##0.00_-;\-&quot;$&quot;* #,##0.00_-;_-&quot;$&quot;* &quot;-&quot;??_-;_-@_-"/>
      <fill>
        <patternFill patternType="solid">
          <fgColor indexed="64"/>
          <bgColor theme="4" tint="0.59999389629810485"/>
        </patternFill>
      </fill>
      <alignment horizontal="center" vertical="center" textRotation="0" wrapText="0" indent="0" justifyLastLine="0" shrinkToFit="0" readingOrder="0"/>
      <border diagonalUp="0" diagonalDown="0" outline="0">
        <left/>
        <right/>
        <top/>
        <bottom style="thick">
          <color theme="0"/>
        </bottom>
      </border>
    </dxf>
    <dxf>
      <font>
        <b val="0"/>
        <i val="0"/>
        <strike val="0"/>
        <condense val="0"/>
        <extend val="0"/>
        <outline val="0"/>
        <shadow val="0"/>
        <u val="none"/>
        <vertAlign val="baseline"/>
        <sz val="10"/>
        <color theme="1"/>
        <name val="verdana"/>
        <family val="2"/>
        <scheme val="minor"/>
      </font>
      <fill>
        <patternFill patternType="solid">
          <fgColor indexed="64"/>
          <bgColor theme="4" tint="0.79998168889431442"/>
        </patternFill>
      </fill>
      <alignment horizontal="center" vertical="center" textRotation="0" wrapText="0" indent="0" justifyLastLine="0" shrinkToFit="0" readingOrder="0"/>
    </dxf>
    <dxf>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thick">
          <color theme="0"/>
        </bottom>
      </border>
    </dxf>
    <dxf>
      <font>
        <color theme="1"/>
      </font>
      <fill>
        <patternFill patternType="solid">
          <fgColor indexed="64"/>
          <bgColor theme="0"/>
        </patternFill>
      </fill>
      <alignment horizontal="center" vertical="center" textRotation="0" wrapText="0" indent="0" justifyLastLine="0" shrinkToFit="0" readingOrder="0"/>
    </dxf>
    <dxf>
      <numFmt numFmtId="164" formatCode="_-&quot;$&quot;* #,##0.00_-;\-&quot;$&quot;* #,##0.00_-;_-&quot;$&quot;* &quot;-&quot;??_-;_-@_-"/>
      <fill>
        <patternFill patternType="solid">
          <fgColor indexed="64"/>
          <bgColor theme="4" tint="0.59999389629810485"/>
        </patternFill>
      </fill>
      <alignment horizontal="center" vertical="center" textRotation="0" wrapText="0" indent="0" justifyLastLine="0" shrinkToFit="0" readingOrder="0"/>
      <border diagonalUp="0" diagonalDown="0" outline="0">
        <left/>
        <right/>
        <top/>
        <bottom style="thick">
          <color theme="0"/>
        </bottom>
      </border>
    </dxf>
    <dxf>
      <font>
        <b val="0"/>
        <i val="0"/>
        <strike val="0"/>
        <condense val="0"/>
        <extend val="0"/>
        <outline val="0"/>
        <shadow val="0"/>
        <u val="none"/>
        <vertAlign val="baseline"/>
        <sz val="10"/>
        <color theme="1"/>
        <name val="verdana"/>
        <family val="2"/>
        <scheme val="minor"/>
      </font>
      <fill>
        <patternFill patternType="solid">
          <fgColor indexed="64"/>
          <bgColor theme="4" tint="0.79998168889431442"/>
        </patternFill>
      </fill>
      <alignment horizontal="center" vertical="center" textRotation="0" wrapText="0" indent="0" justifyLastLine="0" shrinkToFit="0" readingOrder="0"/>
    </dxf>
    <dxf>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thick">
          <color theme="0"/>
        </bottom>
      </border>
    </dxf>
    <dxf>
      <font>
        <color theme="1"/>
      </font>
      <fill>
        <patternFill patternType="solid">
          <fgColor indexed="64"/>
          <bgColor theme="0"/>
        </patternFill>
      </fill>
      <alignment horizontal="center" vertical="center" textRotation="0" wrapText="0" indent="0" justifyLastLine="0" shrinkToFit="0" readingOrder="0"/>
    </dxf>
    <dxf>
      <numFmt numFmtId="164" formatCode="_-&quot;$&quot;* #,##0.00_-;\-&quot;$&quot;* #,##0.00_-;_-&quot;$&quot;* &quot;-&quot;??_-;_-@_-"/>
      <fill>
        <patternFill patternType="solid">
          <fgColor indexed="64"/>
          <bgColor theme="4" tint="0.59999389629810485"/>
        </patternFill>
      </fill>
      <alignment horizontal="center" vertical="center" textRotation="0" wrapText="0" indent="0" justifyLastLine="0" shrinkToFit="0" readingOrder="0"/>
      <border diagonalUp="0" diagonalDown="0" outline="0">
        <left/>
        <right/>
        <top/>
        <bottom style="thick">
          <color theme="0"/>
        </bottom>
      </border>
    </dxf>
    <dxf>
      <fill>
        <patternFill patternType="none">
          <bgColor auto="1"/>
        </patternFill>
      </fill>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dxf>
    <dxf>
      <fill>
        <patternFill patternType="solid">
          <fgColor indexed="64"/>
          <bgColor theme="0" tint="-4.9989318521683403E-2"/>
        </patternFill>
      </fill>
      <alignment horizontal="center" vertical="center" textRotation="0" wrapText="0" indent="0" justifyLastLine="0" shrinkToFit="0" readingOrder="0"/>
    </dxf>
    <dxf>
      <numFmt numFmtId="166" formatCode="#,##0.00\ &quot;€&quot;"/>
      <fill>
        <patternFill patternType="none">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5" tint="0.59999389629810485"/>
        </patternFill>
      </fill>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dxf>
    <dxf>
      <font>
        <color theme="1"/>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5" tint="0.5999938962981048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verdana"/>
        <family val="2"/>
        <scheme val="minor"/>
      </font>
      <fill>
        <patternFill patternType="solid">
          <fgColor indexed="64"/>
          <bgColor theme="5" tint="0.79998168889431442"/>
        </patternFill>
      </fill>
      <alignment horizontal="center" vertical="center" textRotation="0" wrapText="0" indent="0" justifyLastLine="0" shrinkToFit="0" readingOrder="0"/>
      <border diagonalUp="0" diagonalDown="0" outline="0">
        <left/>
        <right style="medium">
          <color theme="5" tint="0.79998168889431442"/>
        </right>
        <top/>
        <bottom/>
      </border>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dxf>
    <dxf>
      <font>
        <color theme="1"/>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5" tint="0.5999938962981048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verdana"/>
        <family val="2"/>
        <scheme val="minor"/>
      </font>
      <fill>
        <patternFill patternType="solid">
          <fgColor indexed="64"/>
          <bgColor theme="5" tint="0.79998168889431442"/>
        </patternFill>
      </fill>
      <alignment horizontal="center" vertical="center" textRotation="0" wrapText="0" indent="0" justifyLastLine="0" shrinkToFit="0" readingOrder="0"/>
      <border diagonalUp="0" diagonalDown="0" outline="0">
        <left/>
        <right style="medium">
          <color theme="5" tint="0.79998168889431442"/>
        </right>
        <top/>
        <bottom/>
      </border>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dxf>
    <dxf>
      <font>
        <color theme="1"/>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5" tint="0.5999938962981048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verdana"/>
        <family val="2"/>
        <scheme val="minor"/>
      </font>
      <fill>
        <patternFill patternType="solid">
          <fgColor indexed="64"/>
          <bgColor theme="5" tint="0.79998168889431442"/>
        </patternFill>
      </fill>
      <alignment horizontal="center" vertical="center" textRotation="0" wrapText="0" indent="0" justifyLastLine="0" shrinkToFit="0" readingOrder="0"/>
      <border diagonalUp="0" diagonalDown="0" outline="0">
        <left/>
        <right style="medium">
          <color theme="5" tint="0.79998168889431442"/>
        </right>
        <top/>
        <bottom/>
      </border>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dxf>
    <dxf>
      <font>
        <color theme="1"/>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5" tint="0.5999938962981048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verdana"/>
        <family val="2"/>
        <scheme val="minor"/>
      </font>
      <fill>
        <patternFill patternType="solid">
          <fgColor indexed="64"/>
          <bgColor theme="5" tint="0.79998168889431442"/>
        </patternFill>
      </fill>
      <alignment horizontal="center" vertical="center" textRotation="0" wrapText="0" indent="0" justifyLastLine="0" shrinkToFit="0" readingOrder="0"/>
      <border diagonalUp="0" diagonalDown="0" outline="0">
        <left/>
        <right style="medium">
          <color theme="5" tint="0.79998168889431442"/>
        </right>
        <top/>
        <bottom/>
      </border>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dxf>
    <dxf>
      <font>
        <color theme="1"/>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5" tint="0.5999938962981048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verdana"/>
        <family val="2"/>
        <scheme val="minor"/>
      </font>
      <fill>
        <patternFill patternType="solid">
          <fgColor indexed="64"/>
          <bgColor theme="5" tint="0.79998168889431442"/>
        </patternFill>
      </fill>
      <alignment horizontal="center" vertical="center" textRotation="0" wrapText="0" indent="0" justifyLastLine="0" shrinkToFit="0" readingOrder="0"/>
      <border diagonalUp="0" diagonalDown="0" outline="0">
        <left/>
        <right style="medium">
          <color theme="5" tint="0.79998168889431442"/>
        </right>
        <top/>
        <bottom/>
      </border>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dxf>
    <dxf>
      <font>
        <color theme="1"/>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5" tint="0.59999389629810485"/>
        </patternFill>
      </fill>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dxf>
    <dxf>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thick">
          <color theme="0"/>
        </bottom>
      </border>
    </dxf>
    <dxf>
      <numFmt numFmtId="166" formatCode="#,##0.00\ &quot;€&quot;"/>
      <fill>
        <patternFill patternType="none">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5" tint="0.59999389629810485"/>
        </patternFill>
      </fill>
      <alignment horizontal="center" vertical="center" textRotation="0" wrapText="0" indent="0" justifyLastLine="0" shrinkToFit="0" readingOrder="0"/>
      <border diagonalUp="0" diagonalDown="0" outline="0">
        <left/>
        <right/>
        <top/>
        <bottom style="thick">
          <color theme="0"/>
        </bottom>
      </border>
    </dxf>
    <dxf>
      <fill>
        <patternFill patternType="solid">
          <fgColor indexed="64"/>
          <bgColor theme="5"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thick">
          <color theme="0"/>
        </bottom>
      </border>
    </dxf>
    <dxf>
      <font>
        <color theme="1"/>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5" tint="0.59999389629810485"/>
        </patternFill>
      </fill>
      <alignment horizontal="center" vertical="center" textRotation="0" wrapText="0" indent="0" justifyLastLine="0" shrinkToFit="0" readingOrder="0"/>
      <border diagonalUp="0" diagonalDown="0" outline="0">
        <left/>
        <right/>
        <top/>
        <bottom style="thick">
          <color theme="0"/>
        </bottom>
      </border>
    </dxf>
    <dxf>
      <font>
        <color theme="1"/>
      </font>
      <fill>
        <patternFill patternType="solid">
          <fgColor indexed="64"/>
          <bgColor theme="5" tint="0.79998168889431442"/>
        </patternFill>
      </fill>
      <alignment horizontal="center" vertical="center" textRotation="0" wrapText="0" indent="0" justifyLastLine="0" shrinkToFit="0" readingOrder="0"/>
      <border diagonalUp="0" diagonalDown="0" outline="0">
        <left/>
        <right style="medium">
          <color theme="5" tint="0.79998168889431442"/>
        </right>
        <top/>
        <bottom/>
      </border>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thick">
          <color theme="0"/>
        </bottom>
      </border>
    </dxf>
    <dxf>
      <font>
        <color theme="1"/>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5" tint="0.59999389629810485"/>
        </patternFill>
      </fill>
      <alignment horizontal="center" vertical="center" textRotation="0" wrapText="0" indent="0" justifyLastLine="0" shrinkToFit="0" readingOrder="0"/>
      <border diagonalUp="0" diagonalDown="0" outline="0">
        <left/>
        <right/>
        <top/>
        <bottom style="thick">
          <color theme="0"/>
        </bottom>
      </border>
    </dxf>
    <dxf>
      <font>
        <color theme="1"/>
      </font>
      <fill>
        <patternFill patternType="solid">
          <fgColor indexed="64"/>
          <bgColor theme="5" tint="0.79998168889431442"/>
        </patternFill>
      </fill>
      <alignment horizontal="center" vertical="center" textRotation="0" wrapText="0" indent="0" justifyLastLine="0" shrinkToFit="0" readingOrder="0"/>
      <border diagonalUp="0" diagonalDown="0" outline="0">
        <left/>
        <right style="medium">
          <color theme="5" tint="0.79998168889431442"/>
        </right>
        <top/>
        <bottom/>
      </border>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thick">
          <color theme="0"/>
        </bottom>
      </border>
    </dxf>
    <dxf>
      <font>
        <color theme="1"/>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5" tint="0.59999389629810485"/>
        </patternFill>
      </fill>
      <alignment horizontal="center" vertical="center" textRotation="0" wrapText="0" indent="0" justifyLastLine="0" shrinkToFit="0" readingOrder="0"/>
      <border diagonalUp="0" diagonalDown="0" outline="0">
        <left/>
        <right/>
        <top/>
        <bottom style="thick">
          <color theme="0"/>
        </bottom>
      </border>
    </dxf>
    <dxf>
      <font>
        <color theme="1"/>
      </font>
      <fill>
        <patternFill patternType="solid">
          <fgColor indexed="64"/>
          <bgColor theme="5" tint="0.79998168889431442"/>
        </patternFill>
      </fill>
      <alignment horizontal="center" vertical="center" textRotation="0" wrapText="0" indent="0" justifyLastLine="0" shrinkToFit="0" readingOrder="0"/>
      <border diagonalUp="0" diagonalDown="0" outline="0">
        <left/>
        <right style="medium">
          <color theme="5" tint="0.79998168889431442"/>
        </right>
        <top/>
        <bottom/>
      </border>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thick">
          <color theme="0"/>
        </bottom>
      </border>
    </dxf>
    <dxf>
      <font>
        <color theme="1"/>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5" tint="0.59999389629810485"/>
        </patternFill>
      </fill>
      <alignment horizontal="center" vertical="center" textRotation="0" wrapText="0" indent="0" justifyLastLine="0" shrinkToFit="0" readingOrder="0"/>
      <border diagonalUp="0" diagonalDown="0" outline="0">
        <left/>
        <right/>
        <top/>
        <bottom style="thick">
          <color theme="0"/>
        </bottom>
      </border>
    </dxf>
    <dxf>
      <font>
        <color theme="1"/>
      </font>
      <fill>
        <patternFill patternType="solid">
          <fgColor indexed="64"/>
          <bgColor theme="5" tint="0.79998168889431442"/>
        </patternFill>
      </fill>
      <alignment horizontal="center" vertical="center" textRotation="0" wrapText="0" indent="0" justifyLastLine="0" shrinkToFit="0" readingOrder="0"/>
      <border diagonalUp="0" diagonalDown="0" outline="0">
        <left/>
        <right style="medium">
          <color theme="5" tint="0.79998168889431442"/>
        </right>
        <top/>
        <bottom/>
      </border>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thick">
          <color theme="0"/>
        </bottom>
      </border>
    </dxf>
    <dxf>
      <font>
        <color theme="1"/>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5" tint="0.59999389629810485"/>
        </patternFill>
      </fill>
      <alignment horizontal="center" vertical="center" textRotation="0" wrapText="0" indent="0" justifyLastLine="0" shrinkToFit="0" readingOrder="0"/>
      <border diagonalUp="0" diagonalDown="0" outline="0">
        <left/>
        <right/>
        <top/>
        <bottom style="thick">
          <color theme="0"/>
        </bottom>
      </border>
    </dxf>
    <dxf>
      <font>
        <b val="0"/>
        <i val="0"/>
        <strike val="0"/>
        <condense val="0"/>
        <extend val="0"/>
        <outline val="0"/>
        <shadow val="0"/>
        <u val="none"/>
        <vertAlign val="baseline"/>
        <sz val="10"/>
        <color theme="1"/>
        <name val="verdana"/>
        <family val="2"/>
        <scheme val="minor"/>
      </font>
      <fill>
        <patternFill patternType="solid">
          <fgColor indexed="64"/>
          <bgColor theme="5" tint="0.79998168889431442"/>
        </patternFill>
      </fill>
      <alignment horizontal="center" vertical="center" textRotation="0" wrapText="0" indent="0" justifyLastLine="0" shrinkToFit="0" readingOrder="0"/>
      <border diagonalUp="0" diagonalDown="0" outline="0">
        <left/>
        <right style="medium">
          <color theme="5" tint="0.79998168889431442"/>
        </right>
        <top/>
        <bottom/>
      </border>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thick">
          <color theme="0"/>
        </bottom>
      </border>
    </dxf>
    <dxf>
      <font>
        <color theme="1"/>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5" tint="0.59999389629810485"/>
        </patternFill>
      </fill>
      <alignment horizontal="center" vertical="center" textRotation="0" wrapText="0" indent="0" justifyLastLine="0" shrinkToFit="0" readingOrder="0"/>
      <border diagonalUp="0" diagonalDown="0" outline="0">
        <left/>
        <right/>
        <top/>
        <bottom style="thick">
          <color theme="0"/>
        </bottom>
      </border>
    </dxf>
    <dxf>
      <fill>
        <patternFill patternType="none">
          <bgColor auto="1"/>
        </patternFill>
      </fill>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dxf>
    <dxf>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thick">
          <color theme="0"/>
        </bottom>
      </border>
    </dxf>
    <dxf>
      <numFmt numFmtId="166" formatCode="#,##0.00\ &quot;€&quot;"/>
      <fill>
        <patternFill patternType="none">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4" tint="0.59999389629810485"/>
        </patternFill>
      </fill>
      <alignment horizontal="center" vertical="center" textRotation="0" wrapText="0" indent="0" justifyLastLine="0" shrinkToFit="0" readingOrder="0"/>
      <border diagonalUp="0" diagonalDown="0" outline="0">
        <left/>
        <right/>
        <top/>
        <bottom style="thick">
          <color theme="0"/>
        </bottom>
      </border>
    </dxf>
    <dxf>
      <fill>
        <patternFill patternType="solid">
          <fgColor indexed="64"/>
          <bgColor theme="4"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thick">
          <color theme="0"/>
        </bottom>
      </border>
    </dxf>
    <dxf>
      <font>
        <color theme="1"/>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4" tint="0.59999389629810485"/>
        </patternFill>
      </fill>
      <alignment horizontal="center" vertical="center" textRotation="0" wrapText="0" indent="0" justifyLastLine="0" shrinkToFit="0" readingOrder="0"/>
      <border diagonalUp="0" diagonalDown="0" outline="0">
        <left/>
        <right/>
        <top/>
        <bottom style="thick">
          <color theme="0"/>
        </bottom>
      </border>
    </dxf>
    <dxf>
      <font>
        <color theme="1"/>
      </font>
      <fill>
        <patternFill patternType="solid">
          <fgColor indexed="64"/>
          <bgColor theme="4"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thick">
          <color theme="0"/>
        </bottom>
      </border>
    </dxf>
    <dxf>
      <font>
        <color theme="1"/>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4" tint="0.59999389629810485"/>
        </patternFill>
      </fill>
      <alignment horizontal="center" vertical="center" textRotation="0" wrapText="0" indent="0" justifyLastLine="0" shrinkToFit="0" readingOrder="0"/>
      <border diagonalUp="0" diagonalDown="0" outline="0">
        <left/>
        <right/>
        <top/>
        <bottom style="thick">
          <color theme="0"/>
        </bottom>
      </border>
    </dxf>
    <dxf>
      <font>
        <color theme="1"/>
      </font>
      <fill>
        <patternFill patternType="solid">
          <fgColor indexed="64"/>
          <bgColor theme="4"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thick">
          <color theme="0"/>
        </bottom>
      </border>
    </dxf>
    <dxf>
      <font>
        <color theme="1"/>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4" tint="0.59999389629810485"/>
        </patternFill>
      </fill>
      <alignment horizontal="center" vertical="center" textRotation="0" wrapText="0" indent="0" justifyLastLine="0" shrinkToFit="0" readingOrder="0"/>
      <border diagonalUp="0" diagonalDown="0" outline="0">
        <left/>
        <right/>
        <top/>
        <bottom style="thick">
          <color theme="0"/>
        </bottom>
      </border>
    </dxf>
    <dxf>
      <font>
        <color theme="1"/>
      </font>
      <fill>
        <patternFill patternType="solid">
          <fgColor indexed="64"/>
          <bgColor theme="4"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thick">
          <color theme="0"/>
        </bottom>
      </border>
    </dxf>
    <dxf>
      <font>
        <color theme="1"/>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4" tint="0.59999389629810485"/>
        </patternFill>
      </fill>
      <alignment horizontal="center" vertical="center" textRotation="0" wrapText="0" indent="0" justifyLastLine="0" shrinkToFit="0" readingOrder="0"/>
      <border diagonalUp="0" diagonalDown="0" outline="0">
        <left/>
        <right/>
        <top/>
        <bottom style="thick">
          <color theme="0"/>
        </bottom>
      </border>
    </dxf>
    <dxf>
      <font>
        <color theme="1"/>
      </font>
      <fill>
        <patternFill patternType="solid">
          <fgColor indexed="64"/>
          <bgColor theme="4"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thick">
          <color theme="0"/>
        </bottom>
      </border>
    </dxf>
    <dxf>
      <font>
        <color theme="1"/>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4" tint="0.59999389629810485"/>
        </patternFill>
      </fill>
      <alignment horizontal="center" vertical="center" textRotation="0" wrapText="0" indent="0" justifyLastLine="0" shrinkToFit="0" readingOrder="0"/>
      <border diagonalUp="0" diagonalDown="0" outline="0">
        <left/>
        <right/>
        <top/>
        <bottom style="thick">
          <color theme="0"/>
        </bottom>
      </border>
    </dxf>
    <dxf>
      <font>
        <color theme="1"/>
      </font>
      <fill>
        <patternFill patternType="solid">
          <fgColor indexed="64"/>
          <bgColor theme="4"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thick">
          <color theme="0"/>
        </bottom>
      </border>
    </dxf>
    <dxf>
      <font>
        <color theme="1"/>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4" tint="0.59999389629810485"/>
        </patternFill>
      </fill>
      <alignment horizontal="center" vertical="center" textRotation="0" wrapText="0" indent="0" justifyLastLine="0" shrinkToFit="0" readingOrder="0"/>
      <border diagonalUp="0" diagonalDown="0" outline="0">
        <left/>
        <right/>
        <top/>
        <bottom style="thick">
          <color theme="0"/>
        </bottom>
      </border>
    </dxf>
    <dxf>
      <fill>
        <patternFill patternType="none">
          <bgColor auto="1"/>
        </patternFill>
      </fill>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dxf>
    <dxf>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thick">
          <color theme="0"/>
        </bottom>
      </border>
    </dxf>
    <dxf>
      <numFmt numFmtId="166" formatCode="#,##0.00\ &quot;€&quot;"/>
      <fill>
        <patternFill>
          <fgColor indexed="64"/>
          <bgColor theme="0"/>
        </patternFill>
      </fill>
      <alignment horizontal="center" vertical="center" textRotation="0" wrapText="0" indent="0" justifyLastLine="0" shrinkToFit="0" readingOrder="0"/>
    </dxf>
    <dxf>
      <numFmt numFmtId="164" formatCode="_-&quot;$&quot;* #,##0.00_-;\-&quot;$&quot;* #,##0.00_-;_-&quot;$&quot;* &quot;-&quot;??_-;_-@_-"/>
      <fill>
        <patternFill patternType="solid">
          <fgColor indexed="64"/>
          <bgColor theme="4" tint="0.59999389629810485"/>
        </patternFill>
      </fill>
      <alignment horizontal="center" vertical="center" textRotation="0" wrapText="0" indent="0" justifyLastLine="0" shrinkToFit="0" readingOrder="0"/>
      <border diagonalUp="0" diagonalDown="0" outline="0">
        <left/>
        <right/>
        <top/>
        <bottom style="thick">
          <color theme="0"/>
        </bottom>
      </border>
    </dxf>
    <dxf>
      <alignment horizontal="center" vertical="center" textRotation="0" wrapText="0" indent="0" justifyLastLine="0" shrinkToFit="0" readingOrder="0"/>
    </dxf>
    <dxf>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thick">
          <color theme="0"/>
        </bottom>
      </border>
    </dxf>
    <dxf>
      <font>
        <b val="0"/>
        <i val="0"/>
        <strike val="0"/>
        <condense val="0"/>
        <extend val="0"/>
        <outline val="0"/>
        <shadow val="0"/>
        <u val="none"/>
        <vertAlign val="baseline"/>
        <sz val="10"/>
        <color theme="1"/>
        <name val="verdana"/>
        <family val="2"/>
        <scheme val="minor"/>
      </font>
      <fill>
        <patternFill patternType="solid">
          <fgColor indexed="64"/>
          <bgColor theme="0"/>
        </patternFill>
      </fill>
      <alignment horizontal="center" vertical="center" textRotation="0" wrapText="0" indent="0" justifyLastLine="0" shrinkToFit="0" readingOrder="0"/>
    </dxf>
    <dxf>
      <numFmt numFmtId="164" formatCode="_-&quot;$&quot;* #,##0.00_-;\-&quot;$&quot;* #,##0.00_-;_-&quot;$&quot;* &quot;-&quot;??_-;_-@_-"/>
      <fill>
        <patternFill patternType="solid">
          <fgColor indexed="64"/>
          <bgColor theme="4" tint="0.59999389629810485"/>
        </patternFill>
      </fill>
      <alignment horizontal="center" vertical="center" textRotation="0" wrapText="0" indent="0" justifyLastLine="0" shrinkToFit="0" readingOrder="0"/>
      <border diagonalUp="0" diagonalDown="0" outline="0">
        <left/>
        <right/>
        <top/>
        <bottom style="thick">
          <color theme="0"/>
        </bottom>
      </border>
    </dxf>
    <dxf>
      <font>
        <b val="0"/>
        <i val="0"/>
        <strike val="0"/>
        <condense val="0"/>
        <extend val="0"/>
        <outline val="0"/>
        <shadow val="0"/>
        <u val="none"/>
        <vertAlign val="baseline"/>
        <sz val="10"/>
        <color theme="1"/>
        <name val="verdana"/>
        <family val="2"/>
        <scheme val="minor"/>
      </font>
      <fill>
        <patternFill patternType="solid">
          <fgColor indexed="64"/>
          <bgColor theme="4" tint="0.79998168889431442"/>
        </patternFill>
      </fill>
      <alignment horizontal="center" vertical="center" textRotation="0" wrapText="0" indent="0" justifyLastLine="0" shrinkToFit="0" readingOrder="0"/>
    </dxf>
    <dxf>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thick">
          <color theme="0"/>
        </bottom>
      </border>
    </dxf>
    <dxf>
      <font>
        <b val="0"/>
        <i val="0"/>
        <strike val="0"/>
        <condense val="0"/>
        <extend val="0"/>
        <outline val="0"/>
        <shadow val="0"/>
        <u val="none"/>
        <vertAlign val="baseline"/>
        <sz val="10"/>
        <color theme="1"/>
        <name val="verdana"/>
        <family val="2"/>
        <scheme val="minor"/>
      </font>
      <fill>
        <patternFill patternType="solid">
          <fgColor indexed="64"/>
          <bgColor theme="0"/>
        </patternFill>
      </fill>
      <alignment horizontal="center" vertical="center" textRotation="0" wrapText="0" indent="0" justifyLastLine="0" shrinkToFit="0" readingOrder="0"/>
    </dxf>
    <dxf>
      <numFmt numFmtId="164" formatCode="_-&quot;$&quot;* #,##0.00_-;\-&quot;$&quot;* #,##0.00_-;_-&quot;$&quot;* &quot;-&quot;??_-;_-@_-"/>
      <fill>
        <patternFill patternType="solid">
          <fgColor indexed="64"/>
          <bgColor theme="4" tint="0.59999389629810485"/>
        </patternFill>
      </fill>
      <alignment horizontal="center" vertical="center" textRotation="0" wrapText="0" indent="0" justifyLastLine="0" shrinkToFit="0" readingOrder="0"/>
      <border diagonalUp="0" diagonalDown="0" outline="0">
        <left/>
        <right/>
        <top/>
        <bottom style="thick">
          <color theme="0"/>
        </bottom>
      </border>
    </dxf>
    <dxf>
      <font>
        <b val="0"/>
        <i val="0"/>
        <strike val="0"/>
        <condense val="0"/>
        <extend val="0"/>
        <outline val="0"/>
        <shadow val="0"/>
        <u val="none"/>
        <vertAlign val="baseline"/>
        <sz val="10"/>
        <color theme="1"/>
        <name val="verdana"/>
        <family val="2"/>
        <scheme val="minor"/>
      </font>
      <fill>
        <patternFill patternType="solid">
          <fgColor indexed="64"/>
          <bgColor theme="4" tint="0.79998168889431442"/>
        </patternFill>
      </fill>
      <alignment horizontal="center" vertical="center" textRotation="0" wrapText="0" indent="0" justifyLastLine="0" shrinkToFit="0" readingOrder="0"/>
    </dxf>
    <dxf>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thick">
          <color theme="0"/>
        </bottom>
      </border>
    </dxf>
    <dxf>
      <font>
        <b val="0"/>
        <i val="0"/>
        <strike val="0"/>
        <condense val="0"/>
        <extend val="0"/>
        <outline val="0"/>
        <shadow val="0"/>
        <u val="none"/>
        <vertAlign val="baseline"/>
        <sz val="10"/>
        <color theme="1"/>
        <name val="verdana"/>
        <family val="2"/>
        <scheme val="minor"/>
      </font>
      <fill>
        <patternFill patternType="solid">
          <fgColor indexed="64"/>
          <bgColor theme="0"/>
        </patternFill>
      </fill>
      <alignment horizontal="center" vertical="center" textRotation="0" wrapText="0" indent="0" justifyLastLine="0" shrinkToFit="0" readingOrder="0"/>
    </dxf>
    <dxf>
      <numFmt numFmtId="164" formatCode="_-&quot;$&quot;* #,##0.00_-;\-&quot;$&quot;* #,##0.00_-;_-&quot;$&quot;* &quot;-&quot;??_-;_-@_-"/>
      <fill>
        <patternFill patternType="solid">
          <fgColor indexed="64"/>
          <bgColor theme="4" tint="0.59999389629810485"/>
        </patternFill>
      </fill>
      <alignment horizontal="center" vertical="center" textRotation="0" wrapText="0" indent="0" justifyLastLine="0" shrinkToFit="0" readingOrder="0"/>
      <border diagonalUp="0" diagonalDown="0" outline="0">
        <left/>
        <right/>
        <top/>
        <bottom style="thick">
          <color theme="0"/>
        </bottom>
      </border>
    </dxf>
    <dxf>
      <font>
        <b val="0"/>
        <i val="0"/>
        <strike val="0"/>
        <condense val="0"/>
        <extend val="0"/>
        <outline val="0"/>
        <shadow val="0"/>
        <u val="none"/>
        <vertAlign val="baseline"/>
        <sz val="10"/>
        <color theme="1"/>
        <name val="verdana"/>
        <family val="2"/>
        <scheme val="minor"/>
      </font>
      <fill>
        <patternFill patternType="solid">
          <fgColor indexed="64"/>
          <bgColor theme="4" tint="0.79998168889431442"/>
        </patternFill>
      </fill>
      <alignment horizontal="center" vertical="center" textRotation="0" wrapText="0" indent="0" justifyLastLine="0" shrinkToFit="0" readingOrder="0"/>
    </dxf>
    <dxf>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thick">
          <color theme="0"/>
        </bottom>
      </border>
    </dxf>
    <dxf>
      <font>
        <b val="0"/>
        <i val="0"/>
        <strike val="0"/>
        <condense val="0"/>
        <extend val="0"/>
        <outline val="0"/>
        <shadow val="0"/>
        <u val="none"/>
        <vertAlign val="baseline"/>
        <sz val="10"/>
        <color theme="1"/>
        <name val="verdana"/>
        <family val="2"/>
        <scheme val="minor"/>
      </font>
      <fill>
        <patternFill patternType="solid">
          <fgColor indexed="64"/>
          <bgColor theme="0"/>
        </patternFill>
      </fill>
      <alignment horizontal="center" vertical="center" textRotation="0" wrapText="0" indent="0" justifyLastLine="0" shrinkToFit="0" readingOrder="0"/>
    </dxf>
    <dxf>
      <numFmt numFmtId="164" formatCode="_-&quot;$&quot;* #,##0.00_-;\-&quot;$&quot;* #,##0.00_-;_-&quot;$&quot;* &quot;-&quot;??_-;_-@_-"/>
      <fill>
        <patternFill patternType="solid">
          <fgColor indexed="64"/>
          <bgColor theme="4" tint="0.59999389629810485"/>
        </patternFill>
      </fill>
      <alignment horizontal="center" vertical="center" textRotation="0" wrapText="0" indent="0" justifyLastLine="0" shrinkToFit="0" readingOrder="0"/>
      <border diagonalUp="0" diagonalDown="0" outline="0">
        <left/>
        <right/>
        <top/>
        <bottom style="thick">
          <color theme="0"/>
        </bottom>
      </border>
    </dxf>
    <dxf>
      <font>
        <b val="0"/>
        <i val="0"/>
        <strike val="0"/>
        <condense val="0"/>
        <extend val="0"/>
        <outline val="0"/>
        <shadow val="0"/>
        <u val="none"/>
        <vertAlign val="baseline"/>
        <sz val="10"/>
        <color theme="1"/>
        <name val="verdana"/>
        <family val="2"/>
        <scheme val="minor"/>
      </font>
      <fill>
        <patternFill patternType="solid">
          <fgColor indexed="64"/>
          <bgColor theme="4" tint="0.79998168889431442"/>
        </patternFill>
      </fill>
      <alignment horizontal="center" vertical="center" textRotation="0" wrapText="0" indent="0" justifyLastLine="0" shrinkToFit="0" readingOrder="0"/>
    </dxf>
    <dxf>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thick">
          <color theme="0"/>
        </bottom>
      </border>
    </dxf>
    <dxf>
      <font>
        <b val="0"/>
        <i val="0"/>
        <strike val="0"/>
        <condense val="0"/>
        <extend val="0"/>
        <outline val="0"/>
        <shadow val="0"/>
        <u val="none"/>
        <vertAlign val="baseline"/>
        <sz val="10"/>
        <color theme="1"/>
        <name val="verdana"/>
        <family val="2"/>
        <scheme val="minor"/>
      </font>
      <fill>
        <patternFill patternType="solid">
          <fgColor indexed="64"/>
          <bgColor theme="0"/>
        </patternFill>
      </fill>
      <alignment horizontal="center" vertical="center" textRotation="0" wrapText="0" indent="0" justifyLastLine="0" shrinkToFit="0" readingOrder="0"/>
    </dxf>
    <dxf>
      <numFmt numFmtId="164" formatCode="_-&quot;$&quot;* #,##0.00_-;\-&quot;$&quot;* #,##0.00_-;_-&quot;$&quot;* &quot;-&quot;??_-;_-@_-"/>
      <fill>
        <patternFill patternType="solid">
          <fgColor indexed="64"/>
          <bgColor theme="4" tint="0.59999389629810485"/>
        </patternFill>
      </fill>
      <alignment horizontal="center" vertical="center" textRotation="0" wrapText="0" indent="0" justifyLastLine="0" shrinkToFit="0" readingOrder="0"/>
      <border diagonalUp="0" diagonalDown="0" outline="0">
        <left/>
        <right/>
        <top/>
        <bottom style="thick">
          <color theme="0"/>
        </bottom>
      </border>
    </dxf>
    <dxf>
      <font>
        <b val="0"/>
        <i val="0"/>
        <strike val="0"/>
        <condense val="0"/>
        <extend val="0"/>
        <outline val="0"/>
        <shadow val="0"/>
        <u val="none"/>
        <vertAlign val="baseline"/>
        <sz val="10"/>
        <color theme="1"/>
        <name val="verdana"/>
        <family val="2"/>
        <scheme val="minor"/>
      </font>
      <fill>
        <patternFill patternType="solid">
          <fgColor indexed="64"/>
          <bgColor theme="4" tint="0.79998168889431442"/>
        </patternFill>
      </fill>
      <alignment horizontal="center" vertical="center" textRotation="0" wrapText="0" indent="0" justifyLastLine="0" shrinkToFit="0" readingOrder="0"/>
    </dxf>
    <dxf>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thick">
          <color theme="0"/>
        </bottom>
      </border>
    </dxf>
    <dxf>
      <font>
        <b val="0"/>
        <i val="0"/>
        <strike val="0"/>
        <condense val="0"/>
        <extend val="0"/>
        <outline val="0"/>
        <shadow val="0"/>
        <u val="none"/>
        <vertAlign val="baseline"/>
        <sz val="10"/>
        <color theme="1"/>
        <name val="verdana"/>
        <family val="2"/>
        <scheme val="minor"/>
      </font>
      <fill>
        <patternFill patternType="solid">
          <fgColor indexed="64"/>
          <bgColor theme="0"/>
        </patternFill>
      </fill>
      <alignment horizontal="center" vertical="center" textRotation="0" wrapText="0" indent="0" justifyLastLine="0" shrinkToFit="0" readingOrder="0"/>
    </dxf>
    <dxf>
      <numFmt numFmtId="164" formatCode="_-&quot;$&quot;* #,##0.00_-;\-&quot;$&quot;* #,##0.00_-;_-&quot;$&quot;* &quot;-&quot;??_-;_-@_-"/>
      <fill>
        <patternFill patternType="solid">
          <fgColor indexed="64"/>
          <bgColor theme="4" tint="0.59999389629810485"/>
        </patternFill>
      </fill>
      <alignment horizontal="center" vertical="center" textRotation="0" wrapText="0" indent="0" justifyLastLine="0" shrinkToFit="0" readingOrder="0"/>
      <border diagonalUp="0" diagonalDown="0" outline="0">
        <left/>
        <right/>
        <top/>
        <bottom style="thick">
          <color theme="0"/>
        </bottom>
      </border>
    </dxf>
    <dxf>
      <fill>
        <patternFill patternType="none">
          <bgColor auto="1"/>
        </patternFill>
      </fill>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dxf>
    <dxf>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thick">
          <color theme="0"/>
        </bottom>
      </border>
    </dxf>
    <dxf>
      <numFmt numFmtId="166" formatCode="#,##0.00\ &quot;€&quot;"/>
      <fill>
        <patternFill>
          <fgColor indexed="64"/>
          <bgColor theme="0"/>
        </patternFill>
      </fill>
      <alignment horizontal="center" vertical="center" textRotation="0" wrapText="0" indent="0" justifyLastLine="0" shrinkToFit="0" readingOrder="0"/>
    </dxf>
    <dxf>
      <numFmt numFmtId="164" formatCode="_-&quot;$&quot;* #,##0.00_-;\-&quot;$&quot;* #,##0.00_-;_-&quot;$&quot;* &quot;-&quot;??_-;_-@_-"/>
      <fill>
        <patternFill patternType="solid">
          <fgColor indexed="64"/>
          <bgColor theme="5" tint="0.59999389629810485"/>
        </patternFill>
      </fill>
      <alignment horizontal="center" vertical="center" textRotation="0" wrapText="0" indent="0" justifyLastLine="0" shrinkToFit="0" readingOrder="0"/>
      <border diagonalUp="0" diagonalDown="0" outline="0">
        <left/>
        <right/>
        <top/>
        <bottom style="thick">
          <color theme="0"/>
        </bottom>
      </border>
    </dxf>
    <dxf>
      <alignment horizontal="center" vertical="center" textRotation="0" wrapText="0" indent="0" justifyLastLine="0" shrinkToFit="0" readingOrder="0"/>
    </dxf>
    <dxf>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thick">
          <color theme="0"/>
        </bottom>
      </border>
    </dxf>
    <dxf>
      <alignment horizontal="center" vertical="center" textRotation="0" wrapText="0" indent="0" justifyLastLine="0" shrinkToFit="0" readingOrder="0"/>
    </dxf>
    <dxf>
      <numFmt numFmtId="164" formatCode="_-&quot;$&quot;* #,##0.00_-;\-&quot;$&quot;* #,##0.00_-;_-&quot;$&quot;* &quot;-&quot;??_-;_-@_-"/>
      <fill>
        <patternFill patternType="solid">
          <fgColor indexed="64"/>
          <bgColor theme="5" tint="0.59999389629810485"/>
        </patternFill>
      </fill>
      <alignment horizontal="center" vertical="center" textRotation="0" wrapText="0" indent="0" justifyLastLine="0" shrinkToFit="0" readingOrder="0"/>
      <border diagonalUp="0" diagonalDown="0" outline="0">
        <left/>
        <right/>
        <top/>
        <bottom style="thick">
          <color theme="0"/>
        </bottom>
      </border>
    </dxf>
    <dxf>
      <alignment horizontal="center" vertical="center" textRotation="0" wrapText="0" indent="0" justifyLastLine="0" shrinkToFit="0" readingOrder="0"/>
    </dxf>
    <dxf>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thick">
          <color theme="0"/>
        </bottom>
      </border>
    </dxf>
    <dxf>
      <alignment horizontal="center" vertical="center" textRotation="0" wrapText="0" indent="0" justifyLastLine="0" shrinkToFit="0" readingOrder="0"/>
    </dxf>
    <dxf>
      <numFmt numFmtId="164" formatCode="_-&quot;$&quot;* #,##0.00_-;\-&quot;$&quot;* #,##0.00_-;_-&quot;$&quot;* &quot;-&quot;??_-;_-@_-"/>
      <fill>
        <patternFill patternType="solid">
          <fgColor indexed="64"/>
          <bgColor theme="5" tint="0.59999389629810485"/>
        </patternFill>
      </fill>
      <alignment horizontal="center" vertical="center" textRotation="0" wrapText="0" indent="0" justifyLastLine="0" shrinkToFit="0" readingOrder="0"/>
      <border diagonalUp="0" diagonalDown="0" outline="0">
        <left/>
        <right/>
        <top/>
        <bottom style="thick">
          <color theme="0"/>
        </bottom>
      </border>
    </dxf>
    <dxf>
      <alignment horizontal="center" vertical="center" textRotation="0" wrapText="0" indent="0" justifyLastLine="0" shrinkToFit="0" readingOrder="0"/>
    </dxf>
    <dxf>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thick">
          <color theme="0"/>
        </bottom>
      </border>
    </dxf>
    <dxf>
      <alignment horizontal="center" vertical="center" textRotation="0" wrapText="0" indent="0" justifyLastLine="0" shrinkToFit="0" readingOrder="0"/>
    </dxf>
    <dxf>
      <numFmt numFmtId="164" formatCode="_-&quot;$&quot;* #,##0.00_-;\-&quot;$&quot;* #,##0.00_-;_-&quot;$&quot;* &quot;-&quot;??_-;_-@_-"/>
      <fill>
        <patternFill patternType="solid">
          <fgColor indexed="64"/>
          <bgColor theme="5" tint="0.59999389629810485"/>
        </patternFill>
      </fill>
      <alignment horizontal="center" vertical="center" textRotation="0" wrapText="0" indent="0" justifyLastLine="0" shrinkToFit="0" readingOrder="0"/>
      <border diagonalUp="0" diagonalDown="0" outline="0">
        <left/>
        <right/>
        <top/>
        <bottom style="thick">
          <color theme="0"/>
        </bottom>
      </border>
    </dxf>
    <dxf>
      <alignment horizontal="center" vertical="center" textRotation="0" wrapText="0" indent="0" justifyLastLine="0" shrinkToFit="0" readingOrder="0"/>
    </dxf>
    <dxf>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thick">
          <color theme="0"/>
        </bottom>
      </border>
    </dxf>
    <dxf>
      <alignment horizontal="center" vertical="center" textRotation="0" wrapText="0" indent="0" justifyLastLine="0" shrinkToFit="0" readingOrder="0"/>
    </dxf>
    <dxf>
      <numFmt numFmtId="164" formatCode="_-&quot;$&quot;* #,##0.00_-;\-&quot;$&quot;* #,##0.00_-;_-&quot;$&quot;* &quot;-&quot;??_-;_-@_-"/>
      <fill>
        <patternFill patternType="solid">
          <fgColor indexed="64"/>
          <bgColor theme="5" tint="0.59999389629810485"/>
        </patternFill>
      </fill>
      <alignment horizontal="center" vertical="center" textRotation="0" wrapText="0" indent="0" justifyLastLine="0" shrinkToFit="0" readingOrder="0"/>
      <border diagonalUp="0" diagonalDown="0" outline="0">
        <left/>
        <right/>
        <top/>
        <bottom style="thick">
          <color theme="0"/>
        </bottom>
      </border>
    </dxf>
    <dxf>
      <alignment horizontal="center" vertical="center" textRotation="0" wrapText="0" indent="0" justifyLastLine="0" shrinkToFit="0" readingOrder="0"/>
    </dxf>
    <dxf>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thick">
          <color theme="0"/>
        </bottom>
      </border>
    </dxf>
    <dxf>
      <alignment horizontal="center" vertical="center" textRotation="0" wrapText="0" indent="0" justifyLastLine="0" shrinkToFit="0" readingOrder="0"/>
    </dxf>
    <dxf>
      <numFmt numFmtId="164" formatCode="_-&quot;$&quot;* #,##0.00_-;\-&quot;$&quot;* #,##0.00_-;_-&quot;$&quot;* &quot;-&quot;??_-;_-@_-"/>
      <fill>
        <patternFill patternType="solid">
          <fgColor indexed="64"/>
          <bgColor theme="5" tint="0.59999389629810485"/>
        </patternFill>
      </fill>
      <alignment horizontal="center" vertical="center" textRotation="0" wrapText="0" indent="0" justifyLastLine="0" shrinkToFit="0" readingOrder="0"/>
      <border diagonalUp="0" diagonalDown="0" outline="0">
        <left/>
        <right/>
        <top/>
        <bottom style="thick">
          <color theme="0"/>
        </bottom>
      </border>
    </dxf>
    <dxf>
      <alignment horizontal="center" vertical="center" textRotation="0" wrapText="0" indent="0" justifyLastLine="0" shrinkToFit="0" readingOrder="0"/>
    </dxf>
    <dxf>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thick">
          <color theme="0"/>
        </bottom>
      </border>
    </dxf>
    <dxf>
      <alignment horizontal="center" vertical="center" textRotation="0" wrapText="0" indent="0" justifyLastLine="0" shrinkToFit="0" readingOrder="0"/>
    </dxf>
    <dxf>
      <numFmt numFmtId="164" formatCode="_-&quot;$&quot;* #,##0.00_-;\-&quot;$&quot;* #,##0.00_-;_-&quot;$&quot;* &quot;-&quot;??_-;_-@_-"/>
      <fill>
        <patternFill patternType="solid">
          <fgColor indexed="64"/>
          <bgColor theme="5" tint="0.59999389629810485"/>
        </patternFill>
      </fill>
      <alignment horizontal="center" vertical="center" textRotation="0" wrapText="0" indent="0" justifyLastLine="0" shrinkToFit="0" readingOrder="0"/>
      <border diagonalUp="0" diagonalDown="0" outline="0">
        <left/>
        <right/>
        <top/>
        <bottom style="thick">
          <color theme="0"/>
        </bottom>
      </border>
    </dxf>
    <dxf>
      <fill>
        <patternFill patternType="none">
          <bgColor auto="1"/>
        </patternFill>
      </fill>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dxf>
    <dxf>
      <fill>
        <patternFill patternType="solid">
          <fgColor indexed="64"/>
          <bgColor theme="0" tint="-4.9989318521683403E-2"/>
        </patternFill>
      </fill>
      <alignment horizontal="center" vertical="center" textRotation="0" wrapText="0" indent="0" justifyLastLine="0" shrinkToFit="0" readingOrder="0"/>
    </dxf>
    <dxf>
      <numFmt numFmtId="166" formatCode="#,##0.00\ &quot;€&quot;"/>
      <fill>
        <patternFill>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5" tint="0.59999389629810485"/>
        </patternFill>
      </fill>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verdana"/>
        <family val="2"/>
        <scheme val="minor"/>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5" tint="0.5999938962981048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verdana"/>
        <family val="2"/>
        <scheme val="minor"/>
      </font>
      <fill>
        <patternFill patternType="solid">
          <fgColor indexed="64"/>
          <bgColor theme="5"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verdana"/>
        <family val="2"/>
        <scheme val="minor"/>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5" tint="0.5999938962981048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verdana"/>
        <family val="2"/>
        <scheme val="minor"/>
      </font>
      <fill>
        <patternFill patternType="solid">
          <fgColor indexed="64"/>
          <bgColor theme="5"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verdana"/>
        <family val="2"/>
        <scheme val="minor"/>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5" tint="0.5999938962981048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verdana"/>
        <family val="2"/>
        <scheme val="minor"/>
      </font>
      <fill>
        <patternFill patternType="solid">
          <fgColor indexed="64"/>
          <bgColor theme="5"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verdana"/>
        <family val="2"/>
        <scheme val="minor"/>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5" tint="0.5999938962981048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verdana"/>
        <family val="2"/>
        <scheme val="minor"/>
      </font>
      <fill>
        <patternFill patternType="solid">
          <fgColor indexed="64"/>
          <bgColor theme="5"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verdana"/>
        <family val="2"/>
        <scheme val="minor"/>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5" tint="0.5999938962981048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verdana"/>
        <family val="2"/>
        <scheme val="minor"/>
      </font>
      <fill>
        <patternFill patternType="solid">
          <fgColor indexed="64"/>
          <bgColor theme="5"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verdana"/>
        <family val="2"/>
        <scheme val="minor"/>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tint="0.14993743705557422"/>
        <name val="verdana"/>
        <family val="2"/>
        <scheme val="minor"/>
      </font>
      <numFmt numFmtId="164" formatCode="_-&quot;$&quot;* #,##0.00_-;\-&quot;$&quot;* #,##0.00_-;_-&quot;$&quot;* &quot;-&quot;??_-;_-@_-"/>
      <fill>
        <patternFill patternType="solid">
          <fgColor indexed="64"/>
          <bgColor theme="5" tint="0.59999389629810485"/>
        </patternFill>
      </fill>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dxf>
    <dxf>
      <fill>
        <patternFill patternType="solid">
          <fgColor indexed="64"/>
          <bgColor theme="0" tint="-4.9989318521683403E-2"/>
        </patternFill>
      </fill>
      <alignment horizontal="center" vertical="center" textRotation="0" wrapText="0" indent="0" justifyLastLine="0" shrinkToFit="0" readingOrder="0"/>
    </dxf>
    <dxf>
      <numFmt numFmtId="166" formatCode="#,##0.00\ &quot;€&quot;"/>
      <fill>
        <patternFill>
          <fgColor indexed="64"/>
          <bgColor theme="0"/>
        </patternFill>
      </fill>
      <alignment horizontal="center" vertical="center" textRotation="0" wrapText="0" indent="0" justifyLastLine="0" shrinkToFit="0" readingOrder="0"/>
    </dxf>
    <dxf>
      <numFmt numFmtId="164" formatCode="_-&quot;$&quot;* #,##0.00_-;\-&quot;$&quot;* #,##0.00_-;_-&quot;$&quot;* &quot;-&quot;??_-;_-@_-"/>
      <fill>
        <patternFill patternType="solid">
          <fgColor indexed="64"/>
          <bgColor theme="4" tint="0.59999389629810485"/>
        </patternFill>
      </fill>
      <alignment horizontal="center" vertical="center" textRotation="0" wrapText="0" indent="0" justifyLastLine="0" shrinkToFit="0" readingOrder="0"/>
    </dxf>
    <dxf>
      <fill>
        <patternFill patternType="solid">
          <fgColor indexed="64"/>
          <bgColor theme="4" tint="0.79998168889431442"/>
        </patternFill>
      </fill>
      <alignment horizontal="center" vertical="center" textRotation="0" wrapText="0" indent="0" justifyLastLine="0" shrinkToFit="0" readingOrder="0"/>
    </dxf>
    <dxf>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verdana"/>
        <family val="2"/>
        <scheme val="minor"/>
      </font>
      <fill>
        <patternFill patternType="solid">
          <fgColor indexed="64"/>
          <bgColor theme="0"/>
        </patternFill>
      </fill>
      <alignment horizontal="center" vertical="center" textRotation="0" wrapText="0" indent="0" justifyLastLine="0" shrinkToFit="0" readingOrder="0"/>
    </dxf>
    <dxf>
      <numFmt numFmtId="164" formatCode="_-&quot;$&quot;* #,##0.00_-;\-&quot;$&quot;* #,##0.00_-;_-&quot;$&quot;* &quot;-&quot;??_-;_-@_-"/>
      <fill>
        <patternFill patternType="solid">
          <fgColor indexed="64"/>
          <bgColor theme="4" tint="0.59999389629810485"/>
        </patternFill>
      </fill>
      <alignment horizontal="center" vertical="center" textRotation="0" wrapText="0" indent="0" justifyLastLine="0" shrinkToFit="0" readingOrder="0"/>
    </dxf>
    <dxf>
      <font>
        <color theme="1"/>
      </font>
      <fill>
        <patternFill patternType="solid">
          <fgColor indexed="64"/>
          <bgColor theme="4" tint="0.79998168889431442"/>
        </patternFill>
      </fill>
      <alignment horizontal="center" vertical="center" textRotation="0" wrapText="0" indent="0" justifyLastLine="0" shrinkToFit="0" readingOrder="0"/>
    </dxf>
    <dxf>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verdana"/>
        <family val="2"/>
        <scheme val="minor"/>
      </font>
      <fill>
        <patternFill patternType="solid">
          <fgColor indexed="64"/>
          <bgColor theme="0"/>
        </patternFill>
      </fill>
      <alignment horizontal="center" vertical="center" textRotation="0" wrapText="0" indent="0" justifyLastLine="0" shrinkToFit="0" readingOrder="0"/>
    </dxf>
    <dxf>
      <numFmt numFmtId="164" formatCode="_-&quot;$&quot;* #,##0.00_-;\-&quot;$&quot;* #,##0.00_-;_-&quot;$&quot;* &quot;-&quot;??_-;_-@_-"/>
      <fill>
        <patternFill patternType="solid">
          <fgColor indexed="64"/>
          <bgColor theme="4" tint="0.59999389629810485"/>
        </patternFill>
      </fill>
      <alignment horizontal="center" vertical="center" textRotation="0" wrapText="0" indent="0" justifyLastLine="0" shrinkToFit="0" readingOrder="0"/>
    </dxf>
    <dxf>
      <font>
        <color theme="1"/>
      </font>
      <fill>
        <patternFill patternType="solid">
          <fgColor indexed="64"/>
          <bgColor theme="4" tint="0.79998168889431442"/>
        </patternFill>
      </fill>
      <alignment horizontal="center" vertical="center" textRotation="0" wrapText="0" indent="0" justifyLastLine="0" shrinkToFit="0" readingOrder="0"/>
    </dxf>
    <dxf>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verdana"/>
        <family val="2"/>
        <scheme val="minor"/>
      </font>
      <fill>
        <patternFill patternType="solid">
          <fgColor indexed="64"/>
          <bgColor theme="0"/>
        </patternFill>
      </fill>
      <alignment horizontal="center" vertical="center" textRotation="0" wrapText="0" indent="0" justifyLastLine="0" shrinkToFit="0" readingOrder="0"/>
    </dxf>
    <dxf>
      <numFmt numFmtId="164" formatCode="_-&quot;$&quot;* #,##0.00_-;\-&quot;$&quot;* #,##0.00_-;_-&quot;$&quot;* &quot;-&quot;??_-;_-@_-"/>
      <fill>
        <patternFill patternType="solid">
          <fgColor indexed="64"/>
          <bgColor theme="4" tint="0.59999389629810485"/>
        </patternFill>
      </fill>
      <alignment horizontal="center" vertical="center" textRotation="0" wrapText="0" indent="0" justifyLastLine="0" shrinkToFit="0" readingOrder="0"/>
    </dxf>
    <dxf>
      <font>
        <color theme="1"/>
      </font>
      <fill>
        <patternFill patternType="solid">
          <fgColor indexed="64"/>
          <bgColor theme="4" tint="0.79998168889431442"/>
        </patternFill>
      </fill>
      <alignment horizontal="center" vertical="center" textRotation="0" wrapText="0" indent="0" justifyLastLine="0" shrinkToFit="0" readingOrder="0"/>
    </dxf>
    <dxf>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verdana"/>
        <family val="2"/>
        <scheme val="minor"/>
      </font>
      <fill>
        <patternFill patternType="solid">
          <fgColor indexed="64"/>
          <bgColor theme="0"/>
        </patternFill>
      </fill>
      <alignment horizontal="center" vertical="center" textRotation="0" wrapText="0" indent="0" justifyLastLine="0" shrinkToFit="0" readingOrder="0"/>
    </dxf>
    <dxf>
      <numFmt numFmtId="164" formatCode="_-&quot;$&quot;* #,##0.00_-;\-&quot;$&quot;* #,##0.00_-;_-&quot;$&quot;* &quot;-&quot;??_-;_-@_-"/>
      <fill>
        <patternFill patternType="solid">
          <fgColor indexed="64"/>
          <bgColor theme="4" tint="0.59999389629810485"/>
        </patternFill>
      </fill>
      <alignment horizontal="center" vertical="center" textRotation="0" wrapText="0" indent="0" justifyLastLine="0" shrinkToFit="0" readingOrder="0"/>
    </dxf>
    <dxf>
      <font>
        <color theme="1"/>
      </font>
      <fill>
        <patternFill patternType="solid">
          <fgColor indexed="64"/>
          <bgColor theme="4" tint="0.79998168889431442"/>
        </patternFill>
      </fill>
      <alignment horizontal="center" vertical="center" textRotation="0" wrapText="0" indent="0" justifyLastLine="0" shrinkToFit="0" readingOrder="0"/>
    </dxf>
    <dxf>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verdana"/>
        <family val="2"/>
        <scheme val="minor"/>
      </font>
      <fill>
        <patternFill patternType="solid">
          <fgColor indexed="64"/>
          <bgColor theme="0"/>
        </patternFill>
      </fill>
      <alignment horizontal="center" vertical="center" textRotation="0" wrapText="0" indent="0" justifyLastLine="0" shrinkToFit="0" readingOrder="0"/>
    </dxf>
    <dxf>
      <numFmt numFmtId="164" formatCode="_-&quot;$&quot;* #,##0.00_-;\-&quot;$&quot;* #,##0.00_-;_-&quot;$&quot;* &quot;-&quot;??_-;_-@_-"/>
      <fill>
        <patternFill patternType="solid">
          <fgColor indexed="64"/>
          <bgColor theme="4" tint="0.59999389629810485"/>
        </patternFill>
      </fill>
      <alignment horizontal="center" vertical="center" textRotation="0" wrapText="0" indent="0" justifyLastLine="0" shrinkToFit="0" readingOrder="0"/>
    </dxf>
    <dxf>
      <font>
        <color theme="1"/>
      </font>
      <fill>
        <patternFill patternType="solid">
          <fgColor indexed="64"/>
          <bgColor theme="4" tint="0.79998168889431442"/>
        </patternFill>
      </fill>
      <alignment horizontal="center" vertical="center" textRotation="0" wrapText="0" indent="0" justifyLastLine="0" shrinkToFit="0" readingOrder="0"/>
    </dxf>
    <dxf>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verdana"/>
        <family val="2"/>
        <scheme val="minor"/>
      </font>
      <fill>
        <patternFill patternType="solid">
          <fgColor indexed="64"/>
          <bgColor theme="0"/>
        </patternFill>
      </fill>
      <alignment horizontal="center" vertical="center" textRotation="0" wrapText="0" indent="0" justifyLastLine="0" shrinkToFit="0" readingOrder="0"/>
    </dxf>
    <dxf>
      <numFmt numFmtId="164" formatCode="_-&quot;$&quot;* #,##0.00_-;\-&quot;$&quot;* #,##0.00_-;_-&quot;$&quot;* &quot;-&quot;??_-;_-@_-"/>
      <fill>
        <patternFill patternType="solid">
          <fgColor indexed="64"/>
          <bgColor theme="4" tint="0.59999389629810485"/>
        </patternFill>
      </fill>
      <alignment horizontal="center" vertical="center" textRotation="0" wrapText="0" indent="0" justifyLastLine="0" shrinkToFit="0" readingOrder="0"/>
    </dxf>
    <dxf>
      <fill>
        <patternFill patternType="none">
          <fgColor indexed="64"/>
          <bgColor theme="0"/>
        </patternFill>
      </fill>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dxf>
    <dxf>
      <fill>
        <patternFill patternType="solid">
          <fgColor indexed="64"/>
          <bgColor theme="0" tint="-4.9989318521683403E-2"/>
        </patternFill>
      </fill>
      <alignment horizontal="center" vertical="center" textRotation="0" wrapText="0" indent="0" justifyLastLine="0" shrinkToFit="0" readingOrder="0"/>
    </dxf>
    <dxf>
      <numFmt numFmtId="166" formatCode="#,##0.00\ &quot;€&quot;"/>
      <fill>
        <patternFill>
          <fgColor indexed="64"/>
          <bgColor theme="0"/>
        </patternFill>
      </fill>
      <alignment horizontal="center" vertical="center" textRotation="0" wrapText="0" indent="0" justifyLastLine="0" shrinkToFit="0" readingOrder="0"/>
    </dxf>
    <dxf>
      <numFmt numFmtId="164" formatCode="_-&quot;$&quot;* #,##0.00_-;\-&quot;$&quot;* #,##0.00_-;_-&quot;$&quot;* &quot;-&quot;??_-;_-@_-"/>
      <fill>
        <patternFill patternType="solid">
          <fgColor indexed="64"/>
          <bgColor theme="4" tint="0.59999389629810485"/>
        </patternFill>
      </fill>
      <alignment horizontal="center" vertical="center" textRotation="0" wrapText="0" indent="0" justifyLastLine="0" shrinkToFit="0" readingOrder="0"/>
    </dxf>
    <dxf>
      <fill>
        <patternFill patternType="solid">
          <fgColor indexed="64"/>
          <bgColor theme="4" tint="0.79998168889431442"/>
        </patternFill>
      </fill>
      <alignment horizontal="center" vertical="center" textRotation="0" wrapText="0" indent="0" justifyLastLine="0" shrinkToFit="0" readingOrder="0"/>
    </dxf>
    <dxf>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verdana"/>
        <family val="2"/>
        <scheme val="minor"/>
      </font>
      <fill>
        <patternFill patternType="solid">
          <fgColor indexed="64"/>
          <bgColor theme="0"/>
        </patternFill>
      </fill>
      <alignment horizontal="center" vertical="center" textRotation="0" wrapText="0" indent="0" justifyLastLine="0" shrinkToFit="0" readingOrder="0"/>
    </dxf>
    <dxf>
      <numFmt numFmtId="164" formatCode="_-&quot;$&quot;* #,##0.00_-;\-&quot;$&quot;* #,##0.00_-;_-&quot;$&quot;* &quot;-&quot;??_-;_-@_-"/>
      <fill>
        <patternFill patternType="solid">
          <fgColor indexed="64"/>
          <bgColor theme="4" tint="0.59999389629810485"/>
        </patternFill>
      </fill>
      <alignment horizontal="center" vertical="center" textRotation="0" wrapText="0" indent="0" justifyLastLine="0" shrinkToFit="0" readingOrder="0"/>
    </dxf>
    <dxf>
      <font>
        <color theme="1"/>
      </font>
      <fill>
        <patternFill patternType="solid">
          <fgColor indexed="64"/>
          <bgColor theme="4" tint="0.79998168889431442"/>
        </patternFill>
      </fill>
      <alignment horizontal="center" vertical="center" textRotation="0" wrapText="0" indent="0" justifyLastLine="0" shrinkToFit="0" readingOrder="0"/>
    </dxf>
    <dxf>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verdana"/>
        <family val="2"/>
        <scheme val="minor"/>
      </font>
      <fill>
        <patternFill patternType="solid">
          <fgColor indexed="64"/>
          <bgColor theme="0"/>
        </patternFill>
      </fill>
      <alignment horizontal="center" vertical="center" textRotation="0" wrapText="0" indent="0" justifyLastLine="0" shrinkToFit="0" readingOrder="0"/>
    </dxf>
    <dxf>
      <numFmt numFmtId="164" formatCode="_-&quot;$&quot;* #,##0.00_-;\-&quot;$&quot;* #,##0.00_-;_-&quot;$&quot;* &quot;-&quot;??_-;_-@_-"/>
      <fill>
        <patternFill patternType="solid">
          <fgColor indexed="64"/>
          <bgColor theme="4" tint="0.59999389629810485"/>
        </patternFill>
      </fill>
      <alignment horizontal="center" vertical="center" textRotation="0" wrapText="0" indent="0" justifyLastLine="0" shrinkToFit="0" readingOrder="0"/>
    </dxf>
    <dxf>
      <font>
        <color theme="1"/>
      </font>
      <fill>
        <patternFill patternType="solid">
          <fgColor indexed="64"/>
          <bgColor theme="4" tint="0.79998168889431442"/>
        </patternFill>
      </fill>
      <alignment horizontal="center" vertical="center" textRotation="0" wrapText="0" indent="0" justifyLastLine="0" shrinkToFit="0" readingOrder="0"/>
    </dxf>
    <dxf>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verdana"/>
        <family val="2"/>
        <scheme val="minor"/>
      </font>
      <fill>
        <patternFill patternType="solid">
          <fgColor indexed="64"/>
          <bgColor theme="0"/>
        </patternFill>
      </fill>
      <alignment horizontal="center" vertical="center" textRotation="0" wrapText="0" indent="0" justifyLastLine="0" shrinkToFit="0" readingOrder="0"/>
    </dxf>
    <dxf>
      <numFmt numFmtId="164" formatCode="_-&quot;$&quot;* #,##0.00_-;\-&quot;$&quot;* #,##0.00_-;_-&quot;$&quot;* &quot;-&quot;??_-;_-@_-"/>
      <fill>
        <patternFill patternType="solid">
          <fgColor indexed="64"/>
          <bgColor theme="4" tint="0.59999389629810485"/>
        </patternFill>
      </fill>
      <alignment horizontal="center" vertical="center" textRotation="0" wrapText="0" indent="0" justifyLastLine="0" shrinkToFit="0" readingOrder="0"/>
    </dxf>
    <dxf>
      <font>
        <color theme="1"/>
      </font>
      <fill>
        <patternFill patternType="solid">
          <fgColor indexed="64"/>
          <bgColor theme="4" tint="0.79998168889431442"/>
        </patternFill>
      </fill>
      <alignment horizontal="center" vertical="center" textRotation="0" wrapText="0" indent="0" justifyLastLine="0" shrinkToFit="0" readingOrder="0"/>
    </dxf>
    <dxf>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verdana"/>
        <family val="2"/>
        <scheme val="minor"/>
      </font>
      <fill>
        <patternFill patternType="solid">
          <fgColor indexed="64"/>
          <bgColor theme="0"/>
        </patternFill>
      </fill>
      <alignment horizontal="center" vertical="center" textRotation="0" wrapText="0" indent="0" justifyLastLine="0" shrinkToFit="0" readingOrder="0"/>
    </dxf>
    <dxf>
      <numFmt numFmtId="164" formatCode="_-&quot;$&quot;* #,##0.00_-;\-&quot;$&quot;* #,##0.00_-;_-&quot;$&quot;* &quot;-&quot;??_-;_-@_-"/>
      <fill>
        <patternFill patternType="solid">
          <fgColor indexed="64"/>
          <bgColor theme="4" tint="0.59999389629810485"/>
        </patternFill>
      </fill>
      <alignment horizontal="center" vertical="center" textRotation="0" wrapText="0" indent="0" justifyLastLine="0" shrinkToFit="0" readingOrder="0"/>
    </dxf>
    <dxf>
      <font>
        <color theme="1"/>
      </font>
      <fill>
        <patternFill patternType="solid">
          <fgColor indexed="64"/>
          <bgColor theme="4" tint="0.79998168889431442"/>
        </patternFill>
      </fill>
      <alignment horizontal="center" vertical="center" textRotation="0" wrapText="0" indent="0" justifyLastLine="0" shrinkToFit="0" readingOrder="0"/>
    </dxf>
    <dxf>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verdana"/>
        <family val="2"/>
        <scheme val="minor"/>
      </font>
      <fill>
        <patternFill patternType="solid">
          <fgColor indexed="64"/>
          <bgColor theme="0"/>
        </patternFill>
      </fill>
      <alignment horizontal="center" vertical="center" textRotation="0" wrapText="0" indent="0" justifyLastLine="0" shrinkToFit="0" readingOrder="0"/>
    </dxf>
    <dxf>
      <numFmt numFmtId="164" formatCode="_-&quot;$&quot;* #,##0.00_-;\-&quot;$&quot;* #,##0.00_-;_-&quot;$&quot;* &quot;-&quot;??_-;_-@_-"/>
      <fill>
        <patternFill patternType="solid">
          <fgColor indexed="64"/>
          <bgColor theme="4" tint="0.59999389629810485"/>
        </patternFill>
      </fill>
      <alignment horizontal="center" vertical="center" textRotation="0" wrapText="0" indent="0" justifyLastLine="0" shrinkToFit="0" readingOrder="0"/>
    </dxf>
    <dxf>
      <font>
        <color theme="1"/>
      </font>
      <fill>
        <patternFill patternType="solid">
          <fgColor indexed="64"/>
          <bgColor theme="4" tint="0.79998168889431442"/>
        </patternFill>
      </fill>
      <alignment horizontal="center" vertical="center" textRotation="0" wrapText="0" indent="0" justifyLastLine="0" shrinkToFit="0" readingOrder="0"/>
    </dxf>
    <dxf>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verdana"/>
        <family val="2"/>
        <scheme val="minor"/>
      </font>
      <fill>
        <patternFill patternType="solid">
          <fgColor indexed="64"/>
          <bgColor theme="0"/>
        </patternFill>
      </fill>
      <alignment horizontal="center" vertical="center" textRotation="0" wrapText="0" indent="0" justifyLastLine="0" shrinkToFit="0" readingOrder="0"/>
    </dxf>
    <dxf>
      <numFmt numFmtId="164" formatCode="_-&quot;$&quot;* #,##0.00_-;\-&quot;$&quot;* #,##0.00_-;_-&quot;$&quot;* &quot;-&quot;??_-;_-@_-"/>
      <fill>
        <patternFill patternType="solid">
          <fgColor indexed="64"/>
          <bgColor theme="4" tint="0.59999389629810485"/>
        </patternFill>
      </fill>
      <alignment horizontal="center" vertical="center" textRotation="0" wrapText="0" indent="0" justifyLastLine="0" shrinkToFit="0" readingOrder="0"/>
    </dxf>
    <dxf>
      <font>
        <strike val="0"/>
        <outline val="0"/>
        <shadow val="0"/>
        <u val="none"/>
        <vertAlign val="baseline"/>
        <sz val="10"/>
        <color theme="5" tint="-0.499984740745262"/>
        <name val="verdana"/>
        <scheme val="minor"/>
      </font>
      <fill>
        <patternFill patternType="none">
          <bgColor auto="1"/>
        </patternFill>
      </fill>
      <alignment horizontal="center" vertical="center" textRotation="0" wrapText="0" indent="0" justifyLastLine="0" shrinkToFit="0" readingOrder="0"/>
    </dxf>
    <dxf>
      <font>
        <strike val="0"/>
        <outline val="0"/>
        <shadow val="0"/>
        <u val="none"/>
        <vertAlign val="baseline"/>
        <sz val="10"/>
        <color theme="5" tint="-0.499984740745262"/>
        <name val="verdana"/>
        <scheme val="minor"/>
      </font>
      <fill>
        <patternFill patternType="none">
          <bgColor auto="1"/>
        </patternFill>
      </fill>
      <alignment horizontal="center" vertical="center" textRotation="0" wrapText="0" indent="0" justifyLastLine="0" shrinkToFit="0" readingOrder="0"/>
    </dxf>
    <dxf>
      <font>
        <strike val="0"/>
        <outline val="0"/>
        <shadow val="0"/>
        <u val="none"/>
        <vertAlign val="baseline"/>
        <sz val="10"/>
        <color theme="5" tint="-0.499984740745262"/>
        <name val="verdana"/>
        <scheme val="minor"/>
      </font>
      <fill>
        <patternFill patternType="none">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5" tint="-0.499984740745262"/>
        <name val="verdana"/>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thick">
          <color theme="0"/>
        </bottom>
      </border>
    </dxf>
    <dxf>
      <numFmt numFmtId="166" formatCode="#,##0.00\ &quot;€&quot;"/>
      <fill>
        <patternFill>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5" tint="-0.499984740745262"/>
        <name val="verdana"/>
        <family val="2"/>
        <scheme val="minor"/>
      </font>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thick">
          <color theme="0"/>
        </bottom>
      </border>
    </dxf>
    <dxf>
      <fill>
        <patternFill>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5" tint="-0.499984740745262"/>
        <name val="verdana"/>
        <family val="2"/>
        <scheme val="minor"/>
      </font>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thick">
          <color theme="0"/>
        </bottom>
      </border>
    </dxf>
    <dxf>
      <font>
        <strike val="0"/>
        <outline val="0"/>
        <shadow val="0"/>
        <u val="none"/>
        <vertAlign val="baseline"/>
        <sz val="10"/>
        <color auto="1"/>
        <name val="verdana"/>
        <scheme val="minor"/>
      </font>
      <fill>
        <patternFill>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5" tint="-0.499984740745262"/>
        <name val="verdana"/>
        <family val="2"/>
        <scheme val="minor"/>
      </font>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thick">
          <color theme="0"/>
        </bottom>
      </border>
    </dxf>
    <dxf>
      <font>
        <strike val="0"/>
        <outline val="0"/>
        <shadow val="0"/>
        <u val="none"/>
        <vertAlign val="baseline"/>
        <sz val="10"/>
        <color auto="1"/>
        <name val="verdana"/>
        <scheme val="minor"/>
      </font>
      <fill>
        <patternFill>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5" tint="-0.499984740745262"/>
        <name val="verdana"/>
        <family val="2"/>
        <scheme val="minor"/>
      </font>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thick">
          <color theme="0"/>
        </bottom>
      </border>
    </dxf>
    <dxf>
      <font>
        <strike val="0"/>
        <outline val="0"/>
        <shadow val="0"/>
        <u val="none"/>
        <vertAlign val="baseline"/>
        <sz val="10"/>
        <color auto="1"/>
        <name val="verdana"/>
        <scheme val="minor"/>
      </font>
      <fill>
        <patternFill>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5" tint="-0.499984740745262"/>
        <name val="verdana"/>
        <family val="2"/>
        <scheme val="minor"/>
      </font>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thick">
          <color theme="0"/>
        </bottom>
      </border>
    </dxf>
    <dxf>
      <font>
        <strike val="0"/>
        <outline val="0"/>
        <shadow val="0"/>
        <u val="none"/>
        <vertAlign val="baseline"/>
        <sz val="10"/>
        <color auto="1"/>
        <name val="verdana"/>
        <scheme val="minor"/>
      </font>
      <fill>
        <patternFill>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5" tint="-0.499984740745262"/>
        <name val="verdana"/>
        <family val="2"/>
        <scheme val="minor"/>
      </font>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thick">
          <color theme="0"/>
        </bottom>
      </border>
    </dxf>
    <dxf>
      <font>
        <strike val="0"/>
        <outline val="0"/>
        <shadow val="0"/>
        <u val="none"/>
        <vertAlign val="baseline"/>
        <sz val="10"/>
        <color auto="1"/>
        <name val="verdana"/>
        <scheme val="minor"/>
      </font>
      <fill>
        <patternFill>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5" tint="-0.499984740745262"/>
        <name val="verdana"/>
        <family val="2"/>
        <scheme val="minor"/>
      </font>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thick">
          <color theme="0"/>
        </bottom>
      </border>
    </dxf>
    <dxf>
      <font>
        <strike val="0"/>
        <outline val="0"/>
        <shadow val="0"/>
        <u val="none"/>
        <vertAlign val="baseline"/>
        <sz val="10"/>
        <color auto="1"/>
        <name val="verdana"/>
        <scheme val="minor"/>
      </font>
      <fill>
        <patternFill>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5" tint="-0.499984740745262"/>
        <name val="verdana"/>
        <family val="2"/>
        <scheme val="minor"/>
      </font>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thick">
          <color theme="0"/>
        </bottom>
      </border>
    </dxf>
    <dxf>
      <font>
        <strike val="0"/>
        <outline val="0"/>
        <shadow val="0"/>
        <u val="none"/>
        <vertAlign val="baseline"/>
        <sz val="10"/>
        <color auto="1"/>
        <name val="verdana"/>
        <scheme val="minor"/>
      </font>
      <fill>
        <patternFill>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5" tint="-0.499984740745262"/>
        <name val="verdana"/>
        <family val="2"/>
        <scheme val="minor"/>
      </font>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thick">
          <color theme="0"/>
        </bottom>
      </border>
    </dxf>
    <dxf>
      <font>
        <strike val="0"/>
        <outline val="0"/>
        <shadow val="0"/>
        <u val="none"/>
        <vertAlign val="baseline"/>
        <sz val="10"/>
        <color auto="1"/>
        <name val="verdana"/>
        <scheme val="minor"/>
      </font>
      <fill>
        <patternFill>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5" tint="-0.499984740745262"/>
        <name val="verdana"/>
        <family val="2"/>
        <scheme val="minor"/>
      </font>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thick">
          <color theme="0"/>
        </bottom>
      </border>
    </dxf>
    <dxf>
      <font>
        <strike val="0"/>
        <outline val="0"/>
        <shadow val="0"/>
        <u val="none"/>
        <vertAlign val="baseline"/>
        <sz val="10"/>
        <color auto="1"/>
        <name val="verdana"/>
        <scheme val="minor"/>
      </font>
      <fill>
        <patternFill>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5" tint="-0.499984740745262"/>
        <name val="verdana"/>
        <family val="2"/>
        <scheme val="minor"/>
      </font>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thick">
          <color theme="0"/>
        </bottom>
      </border>
    </dxf>
    <dxf>
      <font>
        <strike val="0"/>
        <outline val="0"/>
        <shadow val="0"/>
        <u val="none"/>
        <vertAlign val="baseline"/>
        <sz val="10"/>
        <color auto="1"/>
        <name val="verdana"/>
        <scheme val="minor"/>
      </font>
      <fill>
        <patternFill>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5" tint="-0.499984740745262"/>
        <name val="verdana"/>
        <family val="2"/>
        <scheme val="minor"/>
      </font>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thick">
          <color theme="0"/>
        </bottom>
      </border>
    </dxf>
    <dxf>
      <font>
        <strike val="0"/>
        <outline val="0"/>
        <shadow val="0"/>
        <u val="none"/>
        <vertAlign val="baseline"/>
        <sz val="10"/>
        <color auto="1"/>
        <name val="verdana"/>
        <scheme val="minor"/>
      </font>
      <fill>
        <patternFill>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5" tint="-0.499984740745262"/>
        <name val="verdana"/>
        <family val="2"/>
        <scheme val="minor"/>
      </font>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thick">
          <color theme="0"/>
        </bottom>
      </border>
    </dxf>
    <dxf>
      <font>
        <strike val="0"/>
        <outline val="0"/>
        <shadow val="0"/>
        <u val="none"/>
        <vertAlign val="baseline"/>
        <sz val="10"/>
        <color theme="4" tint="-0.499984740745262"/>
        <name val="verdana"/>
        <scheme val="minor"/>
      </font>
      <fill>
        <patternFill patternType="none">
          <bgColor auto="1"/>
        </patternFill>
      </fill>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dxf>
    <dxf>
      <fill>
        <patternFill patternType="none">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4" tint="-0.499984740745262"/>
        <name val="verdana"/>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thick">
          <color theme="0"/>
        </bottom>
      </border>
    </dxf>
    <dxf>
      <numFmt numFmtId="166" formatCode="#,##0.00\ &quot;€&quot;"/>
      <fill>
        <patternFill>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4" tint="-0.499984740745262"/>
        <name val="verdana"/>
        <family val="2"/>
        <scheme val="minor"/>
      </font>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thick">
          <color theme="0"/>
        </bottom>
      </border>
    </dxf>
    <dxf>
      <fill>
        <patternFill>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4" tint="-0.499984740745262"/>
        <name val="verdana"/>
        <family val="2"/>
        <scheme val="minor"/>
      </font>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thick">
          <color theme="0"/>
        </bottom>
      </border>
    </dxf>
    <dxf>
      <fill>
        <patternFill>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4" tint="-0.499984740745262"/>
        <name val="verdana"/>
        <family val="2"/>
        <scheme val="minor"/>
      </font>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thick">
          <color theme="0"/>
        </bottom>
      </border>
    </dxf>
    <dxf>
      <fill>
        <patternFill>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4" tint="-0.499984740745262"/>
        <name val="verdana"/>
        <family val="2"/>
        <scheme val="minor"/>
      </font>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thick">
          <color theme="0"/>
        </bottom>
      </border>
    </dxf>
    <dxf>
      <fill>
        <patternFill>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4" tint="-0.499984740745262"/>
        <name val="verdana"/>
        <family val="2"/>
        <scheme val="minor"/>
      </font>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thick">
          <color theme="0"/>
        </bottom>
      </border>
    </dxf>
    <dxf>
      <fill>
        <patternFill>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4" tint="-0.499984740745262"/>
        <name val="verdana"/>
        <family val="2"/>
        <scheme val="minor"/>
      </font>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thick">
          <color theme="0"/>
        </bottom>
      </border>
    </dxf>
    <dxf>
      <fill>
        <patternFill>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4" tint="-0.499984740745262"/>
        <name val="verdana"/>
        <family val="2"/>
        <scheme val="minor"/>
      </font>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thick">
          <color theme="0"/>
        </bottom>
      </border>
    </dxf>
    <dxf>
      <fill>
        <patternFill>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4" tint="-0.499984740745262"/>
        <name val="verdana"/>
        <family val="2"/>
        <scheme val="minor"/>
      </font>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thick">
          <color theme="0"/>
        </bottom>
      </border>
    </dxf>
    <dxf>
      <fill>
        <patternFill>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4" tint="-0.499984740745262"/>
        <name val="verdana"/>
        <family val="2"/>
        <scheme val="minor"/>
      </font>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thick">
          <color theme="0"/>
        </bottom>
      </border>
    </dxf>
    <dxf>
      <fill>
        <patternFill>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4" tint="-0.499984740745262"/>
        <name val="verdana"/>
        <family val="2"/>
        <scheme val="minor"/>
      </font>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thick">
          <color theme="0"/>
        </bottom>
      </border>
    </dxf>
    <dxf>
      <fill>
        <patternFill>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4" tint="-0.499984740745262"/>
        <name val="verdana"/>
        <family val="2"/>
        <scheme val="minor"/>
      </font>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thick">
          <color theme="0"/>
        </bottom>
      </border>
    </dxf>
    <dxf>
      <fill>
        <patternFill>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4" tint="-0.499984740745262"/>
        <name val="verdana"/>
        <family val="2"/>
        <scheme val="minor"/>
      </font>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thick">
          <color theme="0"/>
        </bottom>
      </border>
    </dxf>
    <dxf>
      <fill>
        <patternFill>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4" tint="-0.499984740745262"/>
        <name val="verdana"/>
        <family val="2"/>
        <scheme val="minor"/>
      </font>
      <numFmt numFmtId="164" formatCode="_-&quot;$&quot;* #,##0.00_-;\-&quot;$&quot;* #,##0.00_-;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thick">
          <color theme="0"/>
        </bottom>
      </border>
    </dxf>
    <dxf>
      <font>
        <b/>
        <i val="0"/>
        <color theme="6" tint="-0.499984740745262"/>
      </font>
      <fill>
        <patternFill>
          <bgColor theme="6" tint="0.79998168889431442"/>
        </patternFill>
      </fill>
    </dxf>
    <dxf>
      <font>
        <b/>
        <i val="0"/>
        <color theme="6" tint="-0.499984740745262"/>
      </font>
      <fill>
        <patternFill>
          <bgColor theme="6" tint="0.79998168889431442"/>
        </patternFill>
      </fill>
    </dxf>
    <dxf>
      <font>
        <b val="0"/>
        <i val="0"/>
        <color theme="6" tint="-0.499984740745262"/>
      </font>
      <fill>
        <patternFill patternType="solid">
          <fgColor theme="6" tint="0.79998168889431442"/>
          <bgColor theme="6" tint="0.79998168889431442"/>
        </patternFill>
      </fill>
    </dxf>
    <dxf>
      <font>
        <b val="0"/>
        <i val="0"/>
        <color theme="6" tint="-0.499984740745262"/>
      </font>
      <fill>
        <patternFill patternType="solid">
          <fgColor theme="6" tint="0.79998168889431442"/>
          <bgColor theme="6" tint="0.79998168889431442"/>
        </patternFill>
      </fill>
    </dxf>
    <dxf>
      <font>
        <b/>
        <i val="0"/>
        <color theme="6" tint="-0.499984740745262"/>
      </font>
      <fill>
        <patternFill>
          <bgColor theme="6" tint="0.79998168889431442"/>
        </patternFill>
      </fill>
    </dxf>
    <dxf>
      <font>
        <b/>
        <i val="0"/>
        <color theme="6" tint="-0.499984740745262"/>
      </font>
      <fill>
        <patternFill>
          <bgColor theme="6" tint="0.79998168889431442"/>
        </patternFill>
      </fill>
    </dxf>
    <dxf>
      <font>
        <b val="0"/>
        <i val="0"/>
        <color theme="6" tint="-0.499984740745262"/>
      </font>
      <border>
        <top style="thin">
          <color theme="6" tint="-0.24994659260841701"/>
        </top>
      </border>
    </dxf>
    <dxf>
      <font>
        <b val="0"/>
        <i val="0"/>
        <color theme="6" tint="-0.499984740745262"/>
      </font>
      <border>
        <bottom style="thin">
          <color theme="6" tint="-0.24994659260841701"/>
        </bottom>
      </border>
    </dxf>
    <dxf>
      <font>
        <b val="0"/>
        <i val="0"/>
        <color theme="6" tint="-0.499984740745262"/>
      </font>
      <border>
        <top style="thin">
          <color theme="6" tint="-0.24994659260841701"/>
        </top>
        <bottom style="thin">
          <color theme="6" tint="-0.24994659260841701"/>
        </bottom>
      </border>
    </dxf>
    <dxf>
      <font>
        <b/>
        <i val="0"/>
        <color theme="4" tint="-0.499984740745262"/>
      </font>
      <fill>
        <patternFill>
          <bgColor theme="4" tint="0.79998168889431442"/>
        </patternFill>
      </fill>
    </dxf>
    <dxf>
      <font>
        <b/>
        <i val="0"/>
        <color theme="4" tint="-0.499984740745262"/>
      </font>
      <fill>
        <patternFill>
          <bgColor theme="4" tint="0.79998168889431442"/>
        </patternFill>
      </fill>
    </dxf>
    <dxf>
      <font>
        <b val="0"/>
        <i val="0"/>
        <color theme="4" tint="-0.499984740745262"/>
      </font>
      <fill>
        <patternFill>
          <bgColor theme="4" tint="0.79998168889431442"/>
        </patternFill>
      </fill>
    </dxf>
    <dxf>
      <font>
        <b val="0"/>
        <i val="0"/>
        <color theme="4" tint="-0.499984740745262"/>
      </font>
      <fill>
        <patternFill patternType="solid">
          <fgColor theme="4" tint="0.79995117038483843"/>
          <bgColor theme="4" tint="0.79998168889431442"/>
        </patternFill>
      </fill>
    </dxf>
    <dxf>
      <font>
        <b/>
        <i val="0"/>
        <color theme="4" tint="-0.499984740745262"/>
      </font>
      <fill>
        <patternFill>
          <bgColor theme="4" tint="0.79998168889431442"/>
        </patternFill>
      </fill>
    </dxf>
    <dxf>
      <font>
        <b/>
        <i val="0"/>
        <color theme="4" tint="-0.499984740745262"/>
      </font>
    </dxf>
    <dxf>
      <font>
        <b val="0"/>
        <i val="0"/>
        <color theme="4" tint="-0.499984740745262"/>
      </font>
      <fill>
        <patternFill patternType="none">
          <bgColor auto="1"/>
        </patternFill>
      </fill>
      <border>
        <top style="thin">
          <color theme="4" tint="-0.24994659260841701"/>
        </top>
      </border>
    </dxf>
    <dxf>
      <border diagonalUp="0" diagonalDown="0">
        <left/>
        <right/>
        <top/>
        <bottom style="thin">
          <color theme="4" tint="-0.499984740745262"/>
        </bottom>
        <vertical/>
        <horizontal/>
      </border>
    </dxf>
    <dxf>
      <font>
        <b val="0"/>
        <i val="0"/>
        <color theme="4" tint="-0.499984740745262"/>
      </font>
      <border>
        <top style="thin">
          <color theme="4" tint="-0.24994659260841701"/>
        </top>
        <bottom style="thin">
          <color theme="4" tint="-0.24994659260841701"/>
        </bottom>
      </border>
    </dxf>
    <dxf>
      <font>
        <b/>
        <i val="0"/>
        <color theme="5" tint="-0.499984740745262"/>
      </font>
      <fill>
        <patternFill>
          <bgColor theme="5" tint="0.79998168889431442"/>
        </patternFill>
      </fill>
    </dxf>
    <dxf>
      <font>
        <b/>
        <i val="0"/>
        <color theme="5" tint="-0.499984740745262"/>
      </font>
      <fill>
        <patternFill>
          <bgColor theme="5" tint="0.79998168889431442"/>
        </patternFill>
      </fill>
    </dxf>
    <dxf>
      <font>
        <b val="0"/>
        <i val="0"/>
        <color theme="5" tint="-0.499984740745262"/>
      </font>
      <fill>
        <patternFill patternType="solid">
          <fgColor theme="5" tint="0.79998168889431442"/>
          <bgColor theme="5" tint="0.79998168889431442"/>
        </patternFill>
      </fill>
    </dxf>
    <dxf>
      <font>
        <b val="0"/>
        <i val="0"/>
        <color theme="5" tint="-0.499984740745262"/>
      </font>
      <fill>
        <patternFill patternType="solid">
          <fgColor theme="5" tint="0.79998168889431442"/>
          <bgColor theme="5" tint="0.79998168889431442"/>
        </patternFill>
      </fill>
    </dxf>
    <dxf>
      <font>
        <b/>
        <i val="0"/>
        <color theme="5" tint="-0.499984740745262"/>
      </font>
      <fill>
        <patternFill>
          <bgColor theme="5" tint="0.79998168889431442"/>
        </patternFill>
      </fill>
    </dxf>
    <dxf>
      <font>
        <b/>
        <i val="0"/>
        <color theme="5" tint="-0.499984740745262"/>
      </font>
    </dxf>
    <dxf>
      <font>
        <b val="0"/>
        <i val="0"/>
        <color theme="5" tint="-0.499984740745262"/>
      </font>
      <border>
        <top style="thin">
          <color theme="5" tint="-0.24994659260841701"/>
        </top>
      </border>
    </dxf>
    <dxf>
      <font>
        <b val="0"/>
        <i val="0"/>
        <color theme="5" tint="-0.499984740745262"/>
      </font>
      <border>
        <bottom style="thin">
          <color theme="5" tint="-0.24994659260841701"/>
        </bottom>
      </border>
    </dxf>
    <dxf>
      <font>
        <b val="0"/>
        <i val="0"/>
        <color theme="5" tint="-0.499984740745262"/>
      </font>
      <border>
        <top style="thin">
          <color theme="5" tint="-0.24994659260841701"/>
        </top>
        <bottom style="thin">
          <color theme="5" tint="-0.24994659260841701"/>
        </bottom>
      </border>
    </dxf>
  </dxfs>
  <tableStyles count="3" defaultTableStyle="Presupuesto personal - gastos" defaultPivotStyle="PivotStyleLight16">
    <tableStyle name="Presupuesto personal - gastos" pivot="0" count="9" xr9:uid="{00000000-0011-0000-FFFF-FFFF00000000}">
      <tableStyleElement type="wholeTable" dxfId="833"/>
      <tableStyleElement type="headerRow" dxfId="832"/>
      <tableStyleElement type="totalRow" dxfId="831"/>
      <tableStyleElement type="firstColumn" dxfId="830"/>
      <tableStyleElement type="lastColumn" dxfId="829"/>
      <tableStyleElement type="firstRowStripe" dxfId="828"/>
      <tableStyleElement type="firstColumnStripe" dxfId="827"/>
      <tableStyleElement type="firstTotalCell" dxfId="826"/>
      <tableStyleElement type="lastTotalCell" dxfId="825"/>
    </tableStyle>
    <tableStyle name="Presupuesto personal - ingresos" pivot="0" count="9" xr9:uid="{00000000-0011-0000-FFFF-FFFF01000000}">
      <tableStyleElement type="wholeTable" dxfId="824"/>
      <tableStyleElement type="headerRow" dxfId="823"/>
      <tableStyleElement type="totalRow" dxfId="822"/>
      <tableStyleElement type="firstColumn" dxfId="821"/>
      <tableStyleElement type="lastColumn" dxfId="820"/>
      <tableStyleElement type="firstRowStripe" dxfId="819"/>
      <tableStyleElement type="firstColumnStripe" dxfId="818"/>
      <tableStyleElement type="firstTotalCell" dxfId="817"/>
      <tableStyleElement type="lastTotalCell" dxfId="816"/>
    </tableStyle>
    <tableStyle name="Presupuesto personal - total" pivot="0" count="9" xr9:uid="{00000000-0011-0000-FFFF-FFFF02000000}">
      <tableStyleElement type="wholeTable" dxfId="815"/>
      <tableStyleElement type="headerRow" dxfId="814"/>
      <tableStyleElement type="totalRow" dxfId="813"/>
      <tableStyleElement type="firstColumn" dxfId="812"/>
      <tableStyleElement type="lastColumn" dxfId="811"/>
      <tableStyleElement type="firstRowStripe" dxfId="810"/>
      <tableStyleElement type="firstColumnStripe" dxfId="809"/>
      <tableStyleElement type="firstTotalCell" dxfId="808"/>
      <tableStyleElement type="lastTotalCell" dxfId="807"/>
    </tableStyle>
  </tableStyles>
  <colors>
    <mruColors>
      <color rgb="FFF7F7F7"/>
      <color rgb="FFF3F8FF"/>
      <color rgb="FFE6F8FA"/>
      <color rgb="FFEFF5FF"/>
      <color rgb="FFD6E8F6"/>
      <color rgb="FFE6EF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2.xml"/><Relationship Id="rId7" Type="http://schemas.openxmlformats.org/officeDocument/2006/relationships/styles" Target="styles.xml"/><Relationship Id="rId2" Type="http://schemas.openxmlformats.org/officeDocument/2006/relationships/worksheet" Target="worksheets/sheet1.xml"/><Relationship Id="rId1" Type="http://schemas.openxmlformats.org/officeDocument/2006/relationships/chartsheet" Target="chartsheets/sheet1.xml"/><Relationship Id="rId6" Type="http://schemas.openxmlformats.org/officeDocument/2006/relationships/theme" Target="theme/theme1.xml"/><Relationship Id="rId5" Type="http://schemas.openxmlformats.org/officeDocument/2006/relationships/worksheet" Target="worksheets/sheet4.xml"/><Relationship Id="rId4" Type="http://schemas.openxmlformats.org/officeDocument/2006/relationships/worksheet" Target="worksheets/sheet3.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'PRESUPUESTO PERSONAL Plantilla'!$C$1:$C$3</c:f>
              <c:strCache>
                <c:ptCount val="3"/>
              </c:strCache>
            </c:strRef>
          </c:tx>
          <c:spPr>
            <a:solidFill>
              <a:schemeClr val="accent1"/>
            </a:solidFill>
            <a:ln>
              <a:noFill/>
            </a:ln>
            <a:effectLst/>
          </c:spPr>
          <c:invertIfNegative val="0"/>
          <c:val>
            <c:numRef>
              <c:f>'PRESUPUESTO PERSONAL Plantilla'!$C$4:$C$102</c:f>
              <c:numCache>
                <c:formatCode>General</c:formatCode>
                <c:ptCount val="99"/>
                <c:pt idx="0">
                  <c:v>0</c:v>
                </c:pt>
                <c:pt idx="1">
                  <c:v>0</c:v>
                </c:pt>
                <c:pt idx="2">
                  <c:v>0</c:v>
                </c:pt>
                <c:pt idx="3">
                  <c:v>0</c:v>
                </c:pt>
                <c:pt idx="4">
                  <c:v>0</c:v>
                </c:pt>
                <c:pt idx="5">
                  <c:v>0</c:v>
                </c:pt>
                <c:pt idx="6">
                  <c:v>0</c:v>
                </c:pt>
                <c:pt idx="8">
                  <c:v>0</c:v>
                </c:pt>
                <c:pt idx="9">
                  <c:v>0</c:v>
                </c:pt>
                <c:pt idx="10">
                  <c:v>0</c:v>
                </c:pt>
                <c:pt idx="11">
                  <c:v>0</c:v>
                </c:pt>
                <c:pt idx="12">
                  <c:v>0</c:v>
                </c:pt>
                <c:pt idx="13">
                  <c:v>0</c:v>
                </c:pt>
                <c:pt idx="14">
                  <c:v>0</c:v>
                </c:pt>
                <c:pt idx="15">
                  <c:v>0</c:v>
                </c:pt>
                <c:pt idx="16">
                  <c:v>0</c:v>
                </c:pt>
                <c:pt idx="17">
                  <c:v>0</c:v>
                </c:pt>
                <c:pt idx="18">
                  <c:v>0</c:v>
                </c:pt>
                <c:pt idx="27">
                  <c:v>0</c:v>
                </c:pt>
                <c:pt idx="28">
                  <c:v>0</c:v>
                </c:pt>
                <c:pt idx="30">
                  <c:v>0</c:v>
                </c:pt>
                <c:pt idx="31">
                  <c:v>0</c:v>
                </c:pt>
                <c:pt idx="32">
                  <c:v>0</c:v>
                </c:pt>
                <c:pt idx="33">
                  <c:v>0</c:v>
                </c:pt>
                <c:pt idx="34">
                  <c:v>0</c:v>
                </c:pt>
                <c:pt idx="35">
                  <c:v>0</c:v>
                </c:pt>
                <c:pt idx="36">
                  <c:v>0</c:v>
                </c:pt>
                <c:pt idx="37">
                  <c:v>0</c:v>
                </c:pt>
                <c:pt idx="38">
                  <c:v>0</c:v>
                </c:pt>
                <c:pt idx="40">
                  <c:v>0</c:v>
                </c:pt>
                <c:pt idx="41">
                  <c:v>0</c:v>
                </c:pt>
                <c:pt idx="42">
                  <c:v>0</c:v>
                </c:pt>
                <c:pt idx="43">
                  <c:v>0</c:v>
                </c:pt>
                <c:pt idx="44">
                  <c:v>0</c:v>
                </c:pt>
                <c:pt idx="45">
                  <c:v>0</c:v>
                </c:pt>
                <c:pt idx="46">
                  <c:v>0</c:v>
                </c:pt>
                <c:pt idx="48">
                  <c:v>0</c:v>
                </c:pt>
                <c:pt idx="49">
                  <c:v>0</c:v>
                </c:pt>
                <c:pt idx="50">
                  <c:v>0</c:v>
                </c:pt>
                <c:pt idx="51">
                  <c:v>0</c:v>
                </c:pt>
                <c:pt idx="52">
                  <c:v>0</c:v>
                </c:pt>
                <c:pt idx="53">
                  <c:v>0</c:v>
                </c:pt>
                <c:pt idx="55">
                  <c:v>0</c:v>
                </c:pt>
                <c:pt idx="56">
                  <c:v>0</c:v>
                </c:pt>
                <c:pt idx="57">
                  <c:v>0</c:v>
                </c:pt>
                <c:pt idx="58">
                  <c:v>0</c:v>
                </c:pt>
                <c:pt idx="59">
                  <c:v>0</c:v>
                </c:pt>
                <c:pt idx="60">
                  <c:v>0</c:v>
                </c:pt>
                <c:pt idx="61">
                  <c:v>0</c:v>
                </c:pt>
                <c:pt idx="62">
                  <c:v>0</c:v>
                </c:pt>
                <c:pt idx="63">
                  <c:v>0</c:v>
                </c:pt>
                <c:pt idx="64">
                  <c:v>0</c:v>
                </c:pt>
                <c:pt idx="66">
                  <c:v>0</c:v>
                </c:pt>
                <c:pt idx="67">
                  <c:v>0</c:v>
                </c:pt>
                <c:pt idx="68">
                  <c:v>0</c:v>
                </c:pt>
                <c:pt idx="70">
                  <c:v>0</c:v>
                </c:pt>
                <c:pt idx="71">
                  <c:v>0</c:v>
                </c:pt>
                <c:pt idx="72">
                  <c:v>0</c:v>
                </c:pt>
                <c:pt idx="74">
                  <c:v>0</c:v>
                </c:pt>
                <c:pt idx="75">
                  <c:v>0</c:v>
                </c:pt>
                <c:pt idx="76">
                  <c:v>0</c:v>
                </c:pt>
                <c:pt idx="78">
                  <c:v>0</c:v>
                </c:pt>
                <c:pt idx="79">
                  <c:v>0</c:v>
                </c:pt>
                <c:pt idx="80">
                  <c:v>0</c:v>
                </c:pt>
                <c:pt idx="82">
                  <c:v>0</c:v>
                </c:pt>
                <c:pt idx="83">
                  <c:v>0</c:v>
                </c:pt>
                <c:pt idx="84">
                  <c:v>0</c:v>
                </c:pt>
                <c:pt idx="85">
                  <c:v>0</c:v>
                </c:pt>
                <c:pt idx="86">
                  <c:v>0</c:v>
                </c:pt>
                <c:pt idx="87">
                  <c:v>0</c:v>
                </c:pt>
                <c:pt idx="88">
                  <c:v>0</c:v>
                </c:pt>
                <c:pt idx="89">
                  <c:v>0</c:v>
                </c:pt>
                <c:pt idx="91">
                  <c:v>0</c:v>
                </c:pt>
                <c:pt idx="92">
                  <c:v>0</c:v>
                </c:pt>
                <c:pt idx="93">
                  <c:v>0</c:v>
                </c:pt>
                <c:pt idx="95">
                  <c:v>0</c:v>
                </c:pt>
                <c:pt idx="96">
                  <c:v>0</c:v>
                </c:pt>
                <c:pt idx="97">
                  <c:v>0</c:v>
                </c:pt>
              </c:numCache>
            </c:numRef>
          </c:val>
          <c:extLst>
            <c:ext xmlns:c16="http://schemas.microsoft.com/office/drawing/2014/chart" uri="{C3380CC4-5D6E-409C-BE32-E72D297353CC}">
              <c16:uniqueId val="{00000000-BFEB-492C-A0B0-870B63DF01FF}"/>
            </c:ext>
          </c:extLst>
        </c:ser>
        <c:dLbls>
          <c:showLegendKey val="0"/>
          <c:showVal val="0"/>
          <c:showCatName val="0"/>
          <c:showSerName val="0"/>
          <c:showPercent val="0"/>
          <c:showBubbleSize val="0"/>
        </c:dLbls>
        <c:gapWidth val="219"/>
        <c:overlap val="-27"/>
        <c:axId val="327769968"/>
        <c:axId val="327770360"/>
      </c:barChart>
      <c:catAx>
        <c:axId val="32776996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327770360"/>
        <c:crosses val="autoZero"/>
        <c:auto val="1"/>
        <c:lblAlgn val="ctr"/>
        <c:lblOffset val="100"/>
        <c:noMultiLvlLbl val="0"/>
      </c:catAx>
      <c:valAx>
        <c:axId val="327770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3277699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MX"/>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100-000000000000}">
  <sheetPr/>
  <sheetViews>
    <sheetView zoomScale="65"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8675077" cy="6301154"/>
    <xdr:graphicFrame macro="">
      <xdr:nvGraphicFramePr>
        <xdr:cNvPr id="2" name="Gráfico 1">
          <a:extLst>
            <a:ext uri="{FF2B5EF4-FFF2-40B4-BE49-F238E27FC236}">
              <a16:creationId xmlns:a16="http://schemas.microsoft.com/office/drawing/2014/main" id="{00000000-0008-0000-0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twoCellAnchor editAs="oneCell">
    <xdr:from>
      <xdr:col>16</xdr:col>
      <xdr:colOff>29765</xdr:colOff>
      <xdr:row>1</xdr:row>
      <xdr:rowOff>188141</xdr:rowOff>
    </xdr:from>
    <xdr:to>
      <xdr:col>17</xdr:col>
      <xdr:colOff>4749</xdr:colOff>
      <xdr:row>2</xdr:row>
      <xdr:rowOff>9526</xdr:rowOff>
    </xdr:to>
    <xdr:sp macro="" textlink="$Q$2">
      <xdr:nvSpPr>
        <xdr:cNvPr id="3" name="Rectángulo 2" descr="Año">
          <a:extLst>
            <a:ext uri="{FF2B5EF4-FFF2-40B4-BE49-F238E27FC236}">
              <a16:creationId xmlns:a16="http://schemas.microsoft.com/office/drawing/2014/main" id="{38DB6D2F-4C80-408C-A4C7-B9C2F6BEA823}"/>
            </a:ext>
          </a:extLst>
        </xdr:cNvPr>
        <xdr:cNvSpPr/>
      </xdr:nvSpPr>
      <xdr:spPr>
        <a:xfrm flipH="1">
          <a:off x="17727215" y="346891"/>
          <a:ext cx="1213234" cy="265885"/>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0"/>
          <a:fld id="{B5844B8A-4141-4FF4-9316-6625FB86BF57}" type="TxLink">
            <a:rPr lang="en-US" sz="1000" b="1" i="0" u="none" strike="noStrike">
              <a:solidFill>
                <a:schemeClr val="bg1"/>
              </a:solidFill>
              <a:latin typeface="verdana"/>
              <a:ea typeface="verdana"/>
              <a:cs typeface="verdana"/>
            </a:rPr>
            <a:pPr algn="ctr" rtl="0"/>
            <a:t>2025</a:t>
          </a:fld>
          <a:endParaRPr lang="en-US" sz="1200" b="1">
            <a:solidFill>
              <a:schemeClr val="bg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16</xdr:col>
      <xdr:colOff>29765</xdr:colOff>
      <xdr:row>1</xdr:row>
      <xdr:rowOff>188141</xdr:rowOff>
    </xdr:from>
    <xdr:to>
      <xdr:col>17</xdr:col>
      <xdr:colOff>4749</xdr:colOff>
      <xdr:row>2</xdr:row>
      <xdr:rowOff>9526</xdr:rowOff>
    </xdr:to>
    <xdr:sp macro="" textlink="$Q$2">
      <xdr:nvSpPr>
        <xdr:cNvPr id="2" name="Rectángulo 2" descr="Año">
          <a:extLst>
            <a:ext uri="{FF2B5EF4-FFF2-40B4-BE49-F238E27FC236}">
              <a16:creationId xmlns:a16="http://schemas.microsoft.com/office/drawing/2014/main" id="{3D5922EE-AF9D-431A-99C8-462A31D1B6F4}"/>
            </a:ext>
          </a:extLst>
        </xdr:cNvPr>
        <xdr:cNvSpPr/>
      </xdr:nvSpPr>
      <xdr:spPr>
        <a:xfrm flipH="1">
          <a:off x="17727215" y="346891"/>
          <a:ext cx="1213234" cy="265885"/>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0"/>
          <a:fld id="{B5844B8A-4141-4FF4-9316-6625FB86BF57}" type="TxLink">
            <a:rPr lang="en-US" sz="1000" b="1" i="0" u="none" strike="noStrike">
              <a:solidFill>
                <a:schemeClr val="bg1"/>
              </a:solidFill>
              <a:latin typeface="verdana"/>
              <a:ea typeface="verdana"/>
              <a:cs typeface="verdana"/>
            </a:rPr>
            <a:pPr algn="ctr" rtl="0"/>
            <a:t>2025</a:t>
          </a:fld>
          <a:endParaRPr lang="en-US" sz="1200" b="1">
            <a:solidFill>
              <a:schemeClr val="bg1"/>
            </a:solidFill>
          </a:endParaRP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Ingresos" displayName="Ingresos" ref="C5:Q10" totalsRowCount="1" headerRowDxfId="779" dataDxfId="777" totalsRowDxfId="778">
  <autoFilter ref="C5:Q9" xr:uid="{00000000-0009-0000-0100-00000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00000000-0010-0000-0000-000001000000}" name="INGRESOS" totalsRowLabel="Total" dataDxfId="430" totalsRowDxfId="429"/>
    <tableColumn id="2" xr3:uid="{00000000-0010-0000-0000-000002000000}" name="14000" totalsRowFunction="sum" dataDxfId="431" totalsRowDxfId="806"/>
    <tableColumn id="3" xr3:uid="{00000000-0010-0000-0000-000003000000}" name="Columna2" totalsRowFunction="sum" dataDxfId="805" totalsRowDxfId="804"/>
    <tableColumn id="4" xr3:uid="{00000000-0010-0000-0000-000004000000}" name="Columna3" totalsRowFunction="sum" dataDxfId="803" totalsRowDxfId="802"/>
    <tableColumn id="5" xr3:uid="{00000000-0010-0000-0000-000005000000}" name="Abril" totalsRowFunction="sum" dataDxfId="801" totalsRowDxfId="800"/>
    <tableColumn id="6" xr3:uid="{00000000-0010-0000-0000-000006000000}" name="Mayo" totalsRowFunction="sum" dataDxfId="799" totalsRowDxfId="798"/>
    <tableColumn id="7" xr3:uid="{00000000-0010-0000-0000-000007000000}" name="Junio" totalsRowFunction="sum" dataDxfId="797" totalsRowDxfId="796"/>
    <tableColumn id="8" xr3:uid="{00000000-0010-0000-0000-000008000000}" name="Julio" totalsRowFunction="sum" dataDxfId="795" totalsRowDxfId="794"/>
    <tableColumn id="9" xr3:uid="{00000000-0010-0000-0000-000009000000}" name="Agosto" totalsRowFunction="sum" dataDxfId="793" totalsRowDxfId="792"/>
    <tableColumn id="10" xr3:uid="{00000000-0010-0000-0000-00000A000000}" name="Septiembre" totalsRowFunction="sum" dataDxfId="791" totalsRowDxfId="790"/>
    <tableColumn id="11" xr3:uid="{00000000-0010-0000-0000-00000B000000}" name="Octubre" totalsRowFunction="sum" dataDxfId="789" totalsRowDxfId="788"/>
    <tableColumn id="12" xr3:uid="{00000000-0010-0000-0000-00000C000000}" name="Noviembre" totalsRowFunction="sum" dataDxfId="787" totalsRowDxfId="786"/>
    <tableColumn id="13" xr3:uid="{00000000-0010-0000-0000-00000D000000}" name="Diciembre" totalsRowFunction="sum" dataDxfId="785" totalsRowDxfId="784"/>
    <tableColumn id="14" xr3:uid="{00000000-0010-0000-0000-00000E000000}" name="Año" totalsRowFunction="sum" dataDxfId="783" totalsRowDxfId="782">
      <calculatedColumnFormula>SUM(Ingresos[[#This Row],[14000]:[Diciembre]])</calculatedColumnFormula>
    </tableColumn>
    <tableColumn id="15" xr3:uid="{00000000-0010-0000-0000-00000F000000}" name="Minigráfico" dataDxfId="781" totalsRowDxfId="780"/>
  </tableColumns>
  <tableStyleInfo showFirstColumn="1" showLastColumn="0" showRowStripes="0" showColumnStripes="1"/>
  <extLst>
    <ext xmlns:x14="http://schemas.microsoft.com/office/spreadsheetml/2009/9/main" uri="{504A1905-F514-4f6f-8877-14C23A59335A}">
      <x14:table altTextSummary="Escriba los elementos de ingresos y el importe mensual en esta tabla. Los importes totales anuales y mensuales se calculan automáticamente y se actualizan los minigráficos"/>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Hogar" displayName="Hogar" ref="C13:Q32" totalsRowCount="1" headerRowDxfId="749" dataDxfId="747" totalsRowDxfId="748">
  <autoFilter ref="C13:Q31" xr:uid="{00000000-0009-0000-0100-00000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00000000-0010-0000-0100-000001000000}" name="PARTICULAR" totalsRowLabel="Total" dataDxfId="427" totalsRowDxfId="426"/>
    <tableColumn id="2" xr3:uid="{00000000-0010-0000-0100-000002000000}" name="Enero" totalsRowFunction="sum" dataDxfId="428" totalsRowDxfId="776"/>
    <tableColumn id="3" xr3:uid="{00000000-0010-0000-0100-000003000000}" name="Febrero" totalsRowFunction="sum" dataDxfId="775" totalsRowDxfId="774"/>
    <tableColumn id="4" xr3:uid="{00000000-0010-0000-0100-000004000000}" name="Marzo" totalsRowFunction="sum" dataDxfId="773" totalsRowDxfId="772"/>
    <tableColumn id="5" xr3:uid="{00000000-0010-0000-0100-000005000000}" name="Abril" totalsRowFunction="sum" dataDxfId="771" totalsRowDxfId="770"/>
    <tableColumn id="6" xr3:uid="{00000000-0010-0000-0100-000006000000}" name="Mayo" totalsRowFunction="sum" dataDxfId="769" totalsRowDxfId="768"/>
    <tableColumn id="7" xr3:uid="{00000000-0010-0000-0100-000007000000}" name="Junio" totalsRowFunction="sum" dataDxfId="767" totalsRowDxfId="766"/>
    <tableColumn id="8" xr3:uid="{00000000-0010-0000-0100-000008000000}" name="Julio" totalsRowFunction="sum" dataDxfId="765" totalsRowDxfId="764"/>
    <tableColumn id="9" xr3:uid="{00000000-0010-0000-0100-000009000000}" name="Agosto" totalsRowFunction="sum" dataDxfId="763" totalsRowDxfId="762"/>
    <tableColumn id="10" xr3:uid="{00000000-0010-0000-0100-00000A000000}" name="Septiembre" totalsRowFunction="sum" dataDxfId="761" totalsRowDxfId="760"/>
    <tableColumn id="11" xr3:uid="{00000000-0010-0000-0100-00000B000000}" name="Octubre" totalsRowFunction="sum" dataDxfId="759" totalsRowDxfId="758"/>
    <tableColumn id="12" xr3:uid="{00000000-0010-0000-0100-00000C000000}" name="Noviembre" totalsRowFunction="sum" dataDxfId="757" totalsRowDxfId="756"/>
    <tableColumn id="13" xr3:uid="{00000000-0010-0000-0100-00000D000000}" name="Diciembre" totalsRowFunction="sum" dataDxfId="755" totalsRowDxfId="754"/>
    <tableColumn id="14" xr3:uid="{00000000-0010-0000-0100-00000E000000}" name="Año" totalsRowFunction="sum" dataDxfId="753" totalsRowDxfId="752">
      <calculatedColumnFormula>SUM(Hogar[[#This Row],[Enero]:[Diciembre]])</calculatedColumnFormula>
    </tableColumn>
    <tableColumn id="15" xr3:uid="{00000000-0010-0000-0100-00000F000000}" name="Minigráfico" dataDxfId="751" totalsRowDxfId="750"/>
  </tableColumns>
  <tableStyleInfo showFirstColumn="1" showLastColumn="0" showRowStripes="0" showColumnStripes="1"/>
  <extLst>
    <ext xmlns:x14="http://schemas.microsoft.com/office/spreadsheetml/2009/9/main" uri="{504A1905-F514-4f6f-8877-14C23A59335A}">
      <x14:table altTextSummary="Escriba los elementos de gastos del hogar y el importe mensual en esta tabla. Los importes totales anuales y mensuales se calculan automáticamente y se actualizan los minigráficos"/>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Diario" displayName="Diario" ref="C34:Q42" totalsRowCount="1" headerRowDxfId="719" dataDxfId="717" totalsRowDxfId="718">
  <autoFilter ref="C34:Q41"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00000000-0010-0000-0200-000001000000}" name="PERSONALES" totalsRowLabel="Total" dataDxfId="424" totalsRowDxfId="423"/>
    <tableColumn id="2" xr3:uid="{00000000-0010-0000-0200-000002000000}" name="ENE" totalsRowFunction="sum" dataDxfId="425" totalsRowDxfId="746" dataCellStyle="Currency"/>
    <tableColumn id="3" xr3:uid="{00000000-0010-0000-0200-000003000000}" name="FEB" totalsRowFunction="sum" dataDxfId="745" totalsRowDxfId="744" dataCellStyle="Currency"/>
    <tableColumn id="4" xr3:uid="{00000000-0010-0000-0200-000004000000}" name="MAR" totalsRowFunction="sum" dataDxfId="743" totalsRowDxfId="742" dataCellStyle="Currency"/>
    <tableColumn id="5" xr3:uid="{00000000-0010-0000-0200-000005000000}" name="ABR" totalsRowFunction="sum" dataDxfId="741" totalsRowDxfId="740" dataCellStyle="Currency"/>
    <tableColumn id="6" xr3:uid="{00000000-0010-0000-0200-000006000000}" name="MAY" totalsRowFunction="sum" dataDxfId="739" totalsRowDxfId="738" dataCellStyle="Currency"/>
    <tableColumn id="7" xr3:uid="{00000000-0010-0000-0200-000007000000}" name="JUN" totalsRowFunction="sum" dataDxfId="737" totalsRowDxfId="736" dataCellStyle="Currency"/>
    <tableColumn id="8" xr3:uid="{00000000-0010-0000-0200-000008000000}" name="JUL" totalsRowFunction="sum" dataDxfId="735" totalsRowDxfId="734" dataCellStyle="Currency"/>
    <tableColumn id="9" xr3:uid="{00000000-0010-0000-0200-000009000000}" name="AGO" totalsRowFunction="sum" dataDxfId="733" totalsRowDxfId="732" dataCellStyle="Currency"/>
    <tableColumn id="10" xr3:uid="{00000000-0010-0000-0200-00000A000000}" name="SEP" totalsRowFunction="sum" dataDxfId="731" totalsRowDxfId="730" dataCellStyle="Currency"/>
    <tableColumn id="11" xr3:uid="{00000000-0010-0000-0200-00000B000000}" name="OCT" totalsRowFunction="sum" dataDxfId="729" totalsRowDxfId="728" dataCellStyle="Currency"/>
    <tableColumn id="12" xr3:uid="{00000000-0010-0000-0200-00000C000000}" name="NOV" totalsRowFunction="sum" dataDxfId="727" totalsRowDxfId="726" dataCellStyle="Currency"/>
    <tableColumn id="13" xr3:uid="{00000000-0010-0000-0200-00000D000000}" name="DIC" totalsRowFunction="sum" dataDxfId="725" totalsRowDxfId="724" dataCellStyle="Currency"/>
    <tableColumn id="14" xr3:uid="{00000000-0010-0000-0200-00000E000000}" name="AÑO" totalsRowFunction="sum" dataDxfId="723" totalsRowDxfId="722">
      <calculatedColumnFormula>SUM(Diario[[#This Row],[ENE]:[DIC]])</calculatedColumnFormula>
    </tableColumn>
    <tableColumn id="15" xr3:uid="{00000000-0010-0000-0200-00000F000000}" name="Minigráfico" dataDxfId="721" totalsRowDxfId="720"/>
  </tableColumns>
  <tableStyleInfo showFirstColumn="1" showLastColumn="0" showRowStripes="0" showColumnStripes="1"/>
  <extLst>
    <ext xmlns:x14="http://schemas.microsoft.com/office/spreadsheetml/2009/9/main" uri="{504A1905-F514-4f6f-8877-14C23A59335A}">
      <x14:table altTextSummary="Escriba los elementos de gastos diarios y el importe mensual en esta tabla. Los importes totales anuales y mensuales se calculan automáticamente y se actualizan los minigráficos"/>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ransporte" displayName="Transporte" ref="C44:Q50" totalsRowCount="1" headerRowDxfId="689" dataDxfId="687" totalsRowDxfId="688">
  <autoFilter ref="C44:Q49" xr:uid="{00000000-0009-0000-0100-000004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00000000-0010-0000-0300-000001000000}" name="MASCOTA" totalsRowLabel="Total" dataDxfId="421" totalsRowDxfId="420"/>
    <tableColumn id="2" xr3:uid="{00000000-0010-0000-0300-000002000000}" name="ENE" totalsRowFunction="sum" dataDxfId="422" totalsRowDxfId="716" dataCellStyle="Currency"/>
    <tableColumn id="3" xr3:uid="{00000000-0010-0000-0300-000003000000}" name="FEB" totalsRowFunction="sum" dataDxfId="715" totalsRowDxfId="714" dataCellStyle="Currency"/>
    <tableColumn id="4" xr3:uid="{00000000-0010-0000-0300-000004000000}" name="MAR" totalsRowFunction="sum" dataDxfId="713" totalsRowDxfId="712" dataCellStyle="Currency"/>
    <tableColumn id="5" xr3:uid="{00000000-0010-0000-0300-000005000000}" name="ABR" totalsRowFunction="sum" dataDxfId="711" totalsRowDxfId="710" dataCellStyle="Currency"/>
    <tableColumn id="6" xr3:uid="{00000000-0010-0000-0300-000006000000}" name="MAY" totalsRowFunction="sum" dataDxfId="709" totalsRowDxfId="708" dataCellStyle="Currency"/>
    <tableColumn id="7" xr3:uid="{00000000-0010-0000-0300-000007000000}" name="JUN" totalsRowFunction="sum" dataDxfId="707" totalsRowDxfId="706" dataCellStyle="Currency"/>
    <tableColumn id="8" xr3:uid="{00000000-0010-0000-0300-000008000000}" name="JUL" totalsRowFunction="sum" dataDxfId="705" totalsRowDxfId="704" dataCellStyle="Currency"/>
    <tableColumn id="9" xr3:uid="{00000000-0010-0000-0300-000009000000}" name="AGO" totalsRowFunction="sum" dataDxfId="703" totalsRowDxfId="702" dataCellStyle="Currency"/>
    <tableColumn id="10" xr3:uid="{00000000-0010-0000-0300-00000A000000}" name="SEP" totalsRowFunction="sum" dataDxfId="701" totalsRowDxfId="700" dataCellStyle="Currency"/>
    <tableColumn id="11" xr3:uid="{00000000-0010-0000-0300-00000B000000}" name="OCT" totalsRowFunction="sum" dataDxfId="699" totalsRowDxfId="698" dataCellStyle="Currency"/>
    <tableColumn id="12" xr3:uid="{00000000-0010-0000-0300-00000C000000}" name="NOV" totalsRowFunction="sum" dataDxfId="697" totalsRowDxfId="696" dataCellStyle="Currency"/>
    <tableColumn id="13" xr3:uid="{00000000-0010-0000-0300-00000D000000}" name="DIC" totalsRowFunction="sum" dataDxfId="695" totalsRowDxfId="694" dataCellStyle="Currency"/>
    <tableColumn id="14" xr3:uid="{00000000-0010-0000-0300-00000E000000}" name="AÑO" totalsRowFunction="sum" dataDxfId="693" totalsRowDxfId="692">
      <calculatedColumnFormula>SUM(Transporte[[#This Row],[ENE]:[DIC]])</calculatedColumnFormula>
    </tableColumn>
    <tableColumn id="15" xr3:uid="{00000000-0010-0000-0300-00000F000000}" name="Minigráfico" dataDxfId="691" totalsRowDxfId="690"/>
  </tableColumns>
  <tableStyleInfo showFirstColumn="1" showLastColumn="0" showRowStripes="0" showColumnStripes="1"/>
  <extLst>
    <ext xmlns:x14="http://schemas.microsoft.com/office/spreadsheetml/2009/9/main" uri="{504A1905-F514-4f6f-8877-14C23A59335A}">
      <x14:table altTextSummary="Escriba los elementos de gastos de transporte y el importe mensual en esta tabla. Los importes totales anuales y mensuales se calculan automáticamente y se actualizan los minigráficos"/>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Entretenimiento" displayName="Entretenimiento" ref="C52:Q57" totalsRowCount="1" headerRowDxfId="659" dataDxfId="657" totalsRowDxfId="658">
  <autoFilter ref="C52:Q56" xr:uid="{00000000-0009-0000-0100-000005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00000000-0010-0000-0400-000001000000}" name="SALUD" totalsRowLabel="Total" dataDxfId="418" totalsRowDxfId="417"/>
    <tableColumn id="2" xr3:uid="{00000000-0010-0000-0400-000002000000}" name="ENE" totalsRowFunction="sum" dataDxfId="419" totalsRowDxfId="686" dataCellStyle="Currency"/>
    <tableColumn id="3" xr3:uid="{00000000-0010-0000-0400-000003000000}" name="FEB" totalsRowFunction="sum" dataDxfId="685" totalsRowDxfId="684" dataCellStyle="Currency"/>
    <tableColumn id="4" xr3:uid="{00000000-0010-0000-0400-000004000000}" name="MAR" totalsRowFunction="sum" dataDxfId="683" totalsRowDxfId="682" dataCellStyle="Currency"/>
    <tableColumn id="5" xr3:uid="{00000000-0010-0000-0400-000005000000}" name="ABR" totalsRowFunction="sum" dataDxfId="681" totalsRowDxfId="680" dataCellStyle="Currency"/>
    <tableColumn id="6" xr3:uid="{00000000-0010-0000-0400-000006000000}" name="MAY" totalsRowFunction="sum" dataDxfId="679" totalsRowDxfId="678" dataCellStyle="Currency"/>
    <tableColumn id="7" xr3:uid="{00000000-0010-0000-0400-000007000000}" name="JUN" totalsRowFunction="sum" dataDxfId="677" totalsRowDxfId="676" dataCellStyle="Currency"/>
    <tableColumn id="8" xr3:uid="{00000000-0010-0000-0400-000008000000}" name="JUL" totalsRowFunction="sum" dataDxfId="675" totalsRowDxfId="674" dataCellStyle="Currency"/>
    <tableColumn id="9" xr3:uid="{00000000-0010-0000-0400-000009000000}" name="AGO" totalsRowFunction="sum" dataDxfId="673" totalsRowDxfId="672" dataCellStyle="Currency"/>
    <tableColumn id="10" xr3:uid="{00000000-0010-0000-0400-00000A000000}" name="SEP" totalsRowFunction="sum" dataDxfId="671" totalsRowDxfId="670" dataCellStyle="Currency"/>
    <tableColumn id="11" xr3:uid="{00000000-0010-0000-0400-00000B000000}" name="OCT" totalsRowFunction="sum" dataDxfId="669" totalsRowDxfId="668" dataCellStyle="Currency"/>
    <tableColumn id="12" xr3:uid="{00000000-0010-0000-0400-00000C000000}" name="NOV" totalsRowFunction="sum" dataDxfId="667" totalsRowDxfId="666" dataCellStyle="Currency"/>
    <tableColumn id="13" xr3:uid="{00000000-0010-0000-0400-00000D000000}" name="DIC" totalsRowFunction="sum" dataDxfId="665" totalsRowDxfId="664" dataCellStyle="Currency"/>
    <tableColumn id="14" xr3:uid="{00000000-0010-0000-0400-00000E000000}" name="AÑO" totalsRowFunction="sum" dataDxfId="663" totalsRowDxfId="662">
      <calculatedColumnFormula>SUM(Entretenimiento[[#This Row],[ENE]:[DIC]])</calculatedColumnFormula>
    </tableColumn>
    <tableColumn id="15" xr3:uid="{00000000-0010-0000-0400-00000F000000}" name="Minigráfico" dataDxfId="661" totalsRowDxfId="660"/>
  </tableColumns>
  <tableStyleInfo showFirstColumn="1" showLastColumn="0" showRowStripes="0" showColumnStripes="1"/>
  <extLst>
    <ext xmlns:x14="http://schemas.microsoft.com/office/spreadsheetml/2009/9/main" uri="{504A1905-F514-4f6f-8877-14C23A59335A}">
      <x14:table altTextSummary="Escriba los elementos de gastos de entretenimiento y el importe mensual en esta tabla. Los importes totales anuales y mensuales se calculan automáticamente y se actualizan los minigráficos"/>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Salud" displayName="Salud" ref="C59:Q68" totalsRowCount="1" headerRowDxfId="629" dataDxfId="627" totalsRowDxfId="628">
  <autoFilter ref="C59:Q67" xr:uid="{00000000-0009-0000-0100-000006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00000000-0010-0000-0500-000001000000}" name="OTROS" totalsRowLabel="Total" dataDxfId="415" totalsRowDxfId="414"/>
    <tableColumn id="2" xr3:uid="{00000000-0010-0000-0500-000002000000}" name="ENE" totalsRowFunction="sum" dataDxfId="416" totalsRowDxfId="656"/>
    <tableColumn id="3" xr3:uid="{00000000-0010-0000-0500-000003000000}" name="FEB" totalsRowFunction="sum" dataDxfId="655" totalsRowDxfId="654"/>
    <tableColumn id="4" xr3:uid="{00000000-0010-0000-0500-000004000000}" name="MAR" totalsRowFunction="sum" dataDxfId="653" totalsRowDxfId="652"/>
    <tableColumn id="5" xr3:uid="{00000000-0010-0000-0500-000005000000}" name="ABR" totalsRowFunction="sum" dataDxfId="651" totalsRowDxfId="650"/>
    <tableColumn id="6" xr3:uid="{00000000-0010-0000-0500-000006000000}" name="MAY" totalsRowFunction="sum" dataDxfId="649" totalsRowDxfId="648"/>
    <tableColumn id="7" xr3:uid="{00000000-0010-0000-0500-000007000000}" name="JUN" totalsRowFunction="sum" dataDxfId="647" totalsRowDxfId="646"/>
    <tableColumn id="8" xr3:uid="{00000000-0010-0000-0500-000008000000}" name="JUL" totalsRowFunction="sum" dataDxfId="645" totalsRowDxfId="644"/>
    <tableColumn id="9" xr3:uid="{00000000-0010-0000-0500-000009000000}" name="AGO" totalsRowFunction="sum" dataDxfId="643" totalsRowDxfId="642"/>
    <tableColumn id="10" xr3:uid="{00000000-0010-0000-0500-00000A000000}" name="SEP" totalsRowFunction="sum" dataDxfId="641" totalsRowDxfId="640"/>
    <tableColumn id="11" xr3:uid="{00000000-0010-0000-0500-00000B000000}" name="OCT" totalsRowFunction="sum" dataDxfId="639" totalsRowDxfId="638"/>
    <tableColumn id="12" xr3:uid="{00000000-0010-0000-0500-00000C000000}" name="NOV" totalsRowFunction="sum" dataDxfId="637" totalsRowDxfId="636"/>
    <tableColumn id="13" xr3:uid="{00000000-0010-0000-0500-00000D000000}" name="DIC" totalsRowFunction="sum" dataDxfId="635" totalsRowDxfId="634"/>
    <tableColumn id="14" xr3:uid="{00000000-0010-0000-0500-00000E000000}" name="AÑO" totalsRowFunction="sum" dataDxfId="633" totalsRowDxfId="632">
      <calculatedColumnFormula>SUM(Salud[[#This Row],[ENE]:[DIC]])</calculatedColumnFormula>
    </tableColumn>
    <tableColumn id="15" xr3:uid="{00000000-0010-0000-0500-00000F000000}" name="Minigráfico" dataDxfId="631" totalsRowDxfId="630"/>
  </tableColumns>
  <tableStyleInfo showFirstColumn="1" showLastColumn="0" showRowStripes="0" showColumnStripes="1"/>
  <extLst>
    <ext xmlns:x14="http://schemas.microsoft.com/office/spreadsheetml/2009/9/main" uri="{504A1905-F514-4f6f-8877-14C23A59335A}">
      <x14:table altTextSummary="Escriba los elementos de gastos sanitarios y el importe mensual en esta tabla. Los importes totales anuales y mensuales se calculan automáticamente y se actualizan los minigráficos"/>
    </ext>
  </extLst>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Vacaciones" displayName="Vacaciones" ref="C70:Q72" totalsRowCount="1" headerRowDxfId="599" dataDxfId="597" totalsRowDxfId="598">
  <autoFilter ref="C70:Q71" xr:uid="{00000000-0009-0000-0100-000007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00000000-0010-0000-0600-000001000000}" name="VACACIONES" totalsRowLabel="Total" dataDxfId="412" totalsRowDxfId="411"/>
    <tableColumn id="2" xr3:uid="{00000000-0010-0000-0600-000002000000}" name="ENE" totalsRowFunction="sum" dataDxfId="413" totalsRowDxfId="626" dataCellStyle="Currency"/>
    <tableColumn id="3" xr3:uid="{00000000-0010-0000-0600-000003000000}" name="FEB" totalsRowFunction="sum" dataDxfId="625" totalsRowDxfId="624" dataCellStyle="Currency"/>
    <tableColumn id="4" xr3:uid="{00000000-0010-0000-0600-000004000000}" name="MAR" totalsRowFunction="sum" dataDxfId="623" totalsRowDxfId="622" dataCellStyle="Currency"/>
    <tableColumn id="5" xr3:uid="{00000000-0010-0000-0600-000005000000}" name="ABR" totalsRowFunction="sum" dataDxfId="621" totalsRowDxfId="620" dataCellStyle="Currency"/>
    <tableColumn id="6" xr3:uid="{00000000-0010-0000-0600-000006000000}" name="MAY" totalsRowFunction="sum" dataDxfId="619" totalsRowDxfId="618" dataCellStyle="Currency"/>
    <tableColumn id="7" xr3:uid="{00000000-0010-0000-0600-000007000000}" name="JUN" totalsRowFunction="sum" dataDxfId="617" totalsRowDxfId="616" dataCellStyle="Currency"/>
    <tableColumn id="8" xr3:uid="{00000000-0010-0000-0600-000008000000}" name="JUL" totalsRowFunction="sum" dataDxfId="615" totalsRowDxfId="614" dataCellStyle="Currency"/>
    <tableColumn id="9" xr3:uid="{00000000-0010-0000-0600-000009000000}" name="AGO" totalsRowFunction="sum" dataDxfId="613" totalsRowDxfId="612" dataCellStyle="Currency"/>
    <tableColumn id="10" xr3:uid="{00000000-0010-0000-0600-00000A000000}" name="SEP" totalsRowFunction="sum" dataDxfId="611" totalsRowDxfId="610" dataCellStyle="Currency"/>
    <tableColumn id="11" xr3:uid="{00000000-0010-0000-0600-00000B000000}" name="OCT" totalsRowFunction="sum" dataDxfId="609" totalsRowDxfId="608" dataCellStyle="Currency"/>
    <tableColumn id="12" xr3:uid="{00000000-0010-0000-0600-00000C000000}" name="NOV" totalsRowFunction="sum" dataDxfId="607" totalsRowDxfId="606" dataCellStyle="Currency"/>
    <tableColumn id="13" xr3:uid="{00000000-0010-0000-0600-00000D000000}" name="DIC" totalsRowFunction="sum" dataDxfId="605" totalsRowDxfId="604" dataCellStyle="Currency"/>
    <tableColumn id="14" xr3:uid="{00000000-0010-0000-0600-00000E000000}" name="AÑO" totalsRowFunction="sum" dataDxfId="603" totalsRowDxfId="602">
      <calculatedColumnFormula>SUM(Vacaciones[[#This Row],[ENE]:[DIC]])</calculatedColumnFormula>
    </tableColumn>
    <tableColumn id="15" xr3:uid="{00000000-0010-0000-0600-00000F000000}" name="Minigráfico" dataDxfId="601" totalsRowDxfId="600"/>
  </tableColumns>
  <tableStyleInfo showFirstColumn="1" showLastColumn="0" showRowStripes="0" showColumnStripes="1"/>
  <extLst>
    <ext xmlns:x14="http://schemas.microsoft.com/office/spreadsheetml/2009/9/main" uri="{504A1905-F514-4f6f-8877-14C23A59335A}">
      <x14:table altTextSummary="Escriba los elementos de gastos de vacaciones y el importe mensual en esta tabla. Los importes totales anuales y mensuales se calculan automáticamente y se actualizan los minigráficos"/>
    </ext>
  </extLst>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Recreo" displayName="Recreo" ref="C74:Q76" totalsRowCount="1" headerRowDxfId="569" dataDxfId="567" totalsRowDxfId="568">
  <autoFilter ref="C74:Q75" xr:uid="{00000000-0009-0000-0100-000008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00000000-0010-0000-0700-000001000000}" name="Ocio" totalsRowLabel="Total" dataDxfId="409" totalsRowDxfId="408"/>
    <tableColumn id="2" xr3:uid="{00000000-0010-0000-0700-000002000000}" name="ENE" totalsRowFunction="sum" dataDxfId="410" totalsRowDxfId="596" dataCellStyle="Currency"/>
    <tableColumn id="3" xr3:uid="{00000000-0010-0000-0700-000003000000}" name="FEB" totalsRowFunction="sum" dataDxfId="595" totalsRowDxfId="594" dataCellStyle="Currency"/>
    <tableColumn id="4" xr3:uid="{00000000-0010-0000-0700-000004000000}" name="MAR" totalsRowFunction="sum" dataDxfId="593" totalsRowDxfId="592" dataCellStyle="Currency"/>
    <tableColumn id="5" xr3:uid="{00000000-0010-0000-0700-000005000000}" name="ABR" totalsRowFunction="sum" dataDxfId="591" totalsRowDxfId="590" dataCellStyle="Currency"/>
    <tableColumn id="6" xr3:uid="{00000000-0010-0000-0700-000006000000}" name="MAY" totalsRowFunction="sum" dataDxfId="589" totalsRowDxfId="588" dataCellStyle="Currency"/>
    <tableColumn id="7" xr3:uid="{00000000-0010-0000-0700-000007000000}" name="JUN" totalsRowFunction="sum" dataDxfId="587" totalsRowDxfId="586" dataCellStyle="Currency"/>
    <tableColumn id="8" xr3:uid="{00000000-0010-0000-0700-000008000000}" name="JUL" totalsRowFunction="sum" dataDxfId="585" totalsRowDxfId="584" dataCellStyle="Currency"/>
    <tableColumn id="9" xr3:uid="{00000000-0010-0000-0700-000009000000}" name="AGO" totalsRowFunction="sum" dataDxfId="583" totalsRowDxfId="582" dataCellStyle="Currency"/>
    <tableColumn id="10" xr3:uid="{00000000-0010-0000-0700-00000A000000}" name="SEP" totalsRowFunction="sum" dataDxfId="581" totalsRowDxfId="580" dataCellStyle="Currency"/>
    <tableColumn id="11" xr3:uid="{00000000-0010-0000-0700-00000B000000}" name="OCT" totalsRowFunction="sum" dataDxfId="579" totalsRowDxfId="578" dataCellStyle="Currency"/>
    <tableColumn id="12" xr3:uid="{00000000-0010-0000-0700-00000C000000}" name="NOV" totalsRowFunction="sum" dataDxfId="577" totalsRowDxfId="576" dataCellStyle="Currency"/>
    <tableColumn id="13" xr3:uid="{00000000-0010-0000-0700-00000D000000}" name="DIC" totalsRowFunction="sum" dataDxfId="575" totalsRowDxfId="574" dataCellStyle="Currency"/>
    <tableColumn id="14" xr3:uid="{00000000-0010-0000-0700-00000E000000}" name="AÑO" totalsRowFunction="sum" dataDxfId="573" totalsRowDxfId="572">
      <calculatedColumnFormula>SUM(Recreo[[#This Row],[ENE]:[DIC]])</calculatedColumnFormula>
    </tableColumn>
    <tableColumn id="15" xr3:uid="{00000000-0010-0000-0700-00000F000000}" name="Minigráfico" dataDxfId="571" totalsRowDxfId="570"/>
  </tableColumns>
  <tableStyleInfo showFirstColumn="1" showLastColumn="0" showRowStripes="0" showColumnStripes="1"/>
  <extLst>
    <ext xmlns:x14="http://schemas.microsoft.com/office/spreadsheetml/2009/9/main" uri="{504A1905-F514-4f6f-8877-14C23A59335A}">
      <x14:table altTextSummary="Escriba los elementos de gastos de recreo y el importe mensual en esta tabla. Los importes totales anuales y mensuales se calculan automáticamente y se actualizan los minigráficos"/>
    </ext>
  </extLst>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DuesAndSubscription" displayName="DuesAndSubscription" ref="C78:Q80" totalsRowCount="1" headerRowDxfId="539" dataDxfId="537" totalsRowDxfId="538">
  <autoFilter ref="C78:Q79" xr:uid="{00000000-0009-0000-0100-000009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00000000-0010-0000-0800-000001000000}" name="CUOTAS Y SUSCRIPCIONES" totalsRowLabel="Total" dataDxfId="406" totalsRowDxfId="405"/>
    <tableColumn id="2" xr3:uid="{00000000-0010-0000-0800-000002000000}" name="ENE" totalsRowFunction="sum" dataDxfId="407" totalsRowDxfId="566" dataCellStyle="Currency"/>
    <tableColumn id="3" xr3:uid="{00000000-0010-0000-0800-000003000000}" name="FEB" totalsRowFunction="sum" dataDxfId="565" totalsRowDxfId="564" dataCellStyle="Currency"/>
    <tableColumn id="4" xr3:uid="{00000000-0010-0000-0800-000004000000}" name="MAR" totalsRowFunction="sum" dataDxfId="563" totalsRowDxfId="562" dataCellStyle="Currency"/>
    <tableColumn id="5" xr3:uid="{00000000-0010-0000-0800-000005000000}" name="ABR" totalsRowFunction="sum" dataDxfId="561" totalsRowDxfId="560" dataCellStyle="Currency"/>
    <tableColumn id="6" xr3:uid="{00000000-0010-0000-0800-000006000000}" name="MAY" totalsRowFunction="sum" dataDxfId="559" totalsRowDxfId="558" dataCellStyle="Currency"/>
    <tableColumn id="7" xr3:uid="{00000000-0010-0000-0800-000007000000}" name="JUN" totalsRowFunction="sum" dataDxfId="557" totalsRowDxfId="556" dataCellStyle="Currency"/>
    <tableColumn id="8" xr3:uid="{00000000-0010-0000-0800-000008000000}" name="JUL" totalsRowFunction="sum" dataDxfId="555" totalsRowDxfId="554" dataCellStyle="Currency"/>
    <tableColumn id="9" xr3:uid="{00000000-0010-0000-0800-000009000000}" name="AGO" totalsRowFunction="sum" dataDxfId="553" totalsRowDxfId="552" dataCellStyle="Currency"/>
    <tableColumn id="10" xr3:uid="{00000000-0010-0000-0800-00000A000000}" name="SEP" totalsRowFunction="sum" dataDxfId="551" totalsRowDxfId="550" dataCellStyle="Currency"/>
    <tableColumn id="11" xr3:uid="{00000000-0010-0000-0800-00000B000000}" name="OCT" totalsRowFunction="sum" dataDxfId="549" totalsRowDxfId="548" dataCellStyle="Currency"/>
    <tableColumn id="12" xr3:uid="{00000000-0010-0000-0800-00000C000000}" name="NOV" totalsRowFunction="sum" dataDxfId="547" totalsRowDxfId="546" dataCellStyle="Currency"/>
    <tableColumn id="13" xr3:uid="{00000000-0010-0000-0800-00000D000000}" name="DIC" totalsRowFunction="sum" dataDxfId="545" totalsRowDxfId="544" dataCellStyle="Currency"/>
    <tableColumn id="14" xr3:uid="{00000000-0010-0000-0800-00000E000000}" name="AÑO" totalsRowFunction="sum" dataDxfId="543" totalsRowDxfId="542">
      <calculatedColumnFormula>SUM(DuesAndSubscription[[#This Row],[ENE]:[DIC]])</calculatedColumnFormula>
    </tableColumn>
    <tableColumn id="15" xr3:uid="{00000000-0010-0000-0800-00000F000000}" name="Minigráfico" dataDxfId="541" totalsRowDxfId="540"/>
  </tableColumns>
  <tableStyleInfo showFirstColumn="1" showLastColumn="0" showRowStripes="0" showColumnStripes="1"/>
  <extLst>
    <ext xmlns:x14="http://schemas.microsoft.com/office/spreadsheetml/2009/9/main" uri="{504A1905-F514-4f6f-8877-14C23A59335A}">
      <x14:table altTextSummary="Escriba los elementos de cuotas y suscripciones y el importe mensual en esta tabla. Los importes totales anuales y mensuales se calculan automáticamente y se actualizan los minigráficos"/>
    </ext>
  </extLst>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Personal" displayName="Personal" ref="C82:Q84" totalsRowCount="1" headerRowDxfId="509" dataDxfId="507" totalsRowDxfId="508">
  <autoFilter ref="C82:Q83" xr:uid="{00000000-0009-0000-0100-00000A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00000000-0010-0000-0900-000001000000}" name="PERSONAL" totalsRowLabel="Total" dataDxfId="403" totalsRowDxfId="402"/>
    <tableColumn id="2" xr3:uid="{00000000-0010-0000-0900-000002000000}" name="ENE" totalsRowFunction="sum" dataDxfId="404" totalsRowDxfId="536" dataCellStyle="Currency"/>
    <tableColumn id="3" xr3:uid="{00000000-0010-0000-0900-000003000000}" name="FEB" totalsRowFunction="sum" dataDxfId="535" totalsRowDxfId="534" dataCellStyle="Currency"/>
    <tableColumn id="4" xr3:uid="{00000000-0010-0000-0900-000004000000}" name="MAR" totalsRowFunction="sum" dataDxfId="533" totalsRowDxfId="532" dataCellStyle="Currency"/>
    <tableColumn id="5" xr3:uid="{00000000-0010-0000-0900-000005000000}" name="ABR" totalsRowFunction="sum" dataDxfId="531" totalsRowDxfId="530" dataCellStyle="Currency"/>
    <tableColumn id="6" xr3:uid="{00000000-0010-0000-0900-000006000000}" name="MAY" totalsRowFunction="sum" dataDxfId="529" totalsRowDxfId="528" dataCellStyle="Currency"/>
    <tableColumn id="7" xr3:uid="{00000000-0010-0000-0900-000007000000}" name="JUN" totalsRowFunction="sum" dataDxfId="527" totalsRowDxfId="526" dataCellStyle="Currency"/>
    <tableColumn id="8" xr3:uid="{00000000-0010-0000-0900-000008000000}" name="JUL" totalsRowFunction="sum" dataDxfId="525" totalsRowDxfId="524" dataCellStyle="Currency"/>
    <tableColumn id="9" xr3:uid="{00000000-0010-0000-0900-000009000000}" name="AGO" totalsRowFunction="sum" dataDxfId="523" totalsRowDxfId="522" dataCellStyle="Currency"/>
    <tableColumn id="10" xr3:uid="{00000000-0010-0000-0900-00000A000000}" name="SEP" totalsRowFunction="sum" dataDxfId="521" totalsRowDxfId="520" dataCellStyle="Currency"/>
    <tableColumn id="11" xr3:uid="{00000000-0010-0000-0900-00000B000000}" name="OCT" totalsRowFunction="sum" dataDxfId="519" totalsRowDxfId="518" dataCellStyle="Currency"/>
    <tableColumn id="12" xr3:uid="{00000000-0010-0000-0900-00000C000000}" name="NOV" totalsRowFunction="sum" dataDxfId="517" totalsRowDxfId="516" dataCellStyle="Currency"/>
    <tableColumn id="13" xr3:uid="{00000000-0010-0000-0900-00000D000000}" name="DIC" totalsRowFunction="sum" dataDxfId="515" totalsRowDxfId="514" dataCellStyle="Currency"/>
    <tableColumn id="14" xr3:uid="{00000000-0010-0000-0900-00000E000000}" name="AÑO" totalsRowFunction="sum" dataDxfId="513" totalsRowDxfId="512">
      <calculatedColumnFormula>SUM(Personal[[#This Row],[ENE]:[DIC]])</calculatedColumnFormula>
    </tableColumn>
    <tableColumn id="15" xr3:uid="{00000000-0010-0000-0900-00000F000000}" name="Minigráfico" dataDxfId="511" totalsRowDxfId="510"/>
  </tableColumns>
  <tableStyleInfo showFirstColumn="1" showLastColumn="0" showRowStripes="0" showColumnStripes="1"/>
  <extLst>
    <ext xmlns:x14="http://schemas.microsoft.com/office/spreadsheetml/2009/9/main" uri="{504A1905-F514-4f6f-8877-14C23A59335A}">
      <x14:table altTextSummary="Escriba los elementos de gastos personales y el importe mensual en esta tabla. Los importes totales anuales y mensuales se calculan automáticamente y se actualizan los minigráficos"/>
    </ext>
  </extLst>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Finanzas" displayName="Finanzas" ref="C86:Q93" totalsRowCount="1" headerRowDxfId="479" dataDxfId="477" totalsRowDxfId="478">
  <autoFilter ref="C86:Q92" xr:uid="{00000000-0009-0000-0100-00000B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00000000-0010-0000-0A00-000001000000}" name="OBLIGACIONES FINANCIERAS" totalsRowLabel="Total" dataDxfId="400" totalsRowDxfId="399"/>
    <tableColumn id="2" xr3:uid="{00000000-0010-0000-0A00-000002000000}" name="ENE" totalsRowFunction="sum" dataDxfId="401" totalsRowDxfId="506" dataCellStyle="Currency"/>
    <tableColumn id="3" xr3:uid="{00000000-0010-0000-0A00-000003000000}" name="FEB" totalsRowFunction="sum" dataDxfId="505" totalsRowDxfId="504" dataCellStyle="Currency"/>
    <tableColumn id="4" xr3:uid="{00000000-0010-0000-0A00-000004000000}" name="MAR" totalsRowFunction="sum" dataDxfId="503" totalsRowDxfId="502" dataCellStyle="Currency"/>
    <tableColumn id="5" xr3:uid="{00000000-0010-0000-0A00-000005000000}" name="ABR" totalsRowFunction="sum" dataDxfId="501" totalsRowDxfId="500" dataCellStyle="Currency"/>
    <tableColumn id="6" xr3:uid="{00000000-0010-0000-0A00-000006000000}" name="MAY" totalsRowFunction="sum" dataDxfId="499" totalsRowDxfId="498" dataCellStyle="Currency"/>
    <tableColumn id="7" xr3:uid="{00000000-0010-0000-0A00-000007000000}" name="JUN" totalsRowFunction="sum" dataDxfId="497" totalsRowDxfId="496" dataCellStyle="Currency"/>
    <tableColumn id="8" xr3:uid="{00000000-0010-0000-0A00-000008000000}" name="JUL" totalsRowFunction="sum" dataDxfId="495" totalsRowDxfId="494" dataCellStyle="Currency"/>
    <tableColumn id="9" xr3:uid="{00000000-0010-0000-0A00-000009000000}" name="AGO" totalsRowFunction="sum" dataDxfId="493" totalsRowDxfId="492" dataCellStyle="Currency"/>
    <tableColumn id="10" xr3:uid="{00000000-0010-0000-0A00-00000A000000}" name="SEP" totalsRowFunction="sum" dataDxfId="491" totalsRowDxfId="490" dataCellStyle="Currency"/>
    <tableColumn id="11" xr3:uid="{00000000-0010-0000-0A00-00000B000000}" name="OCT" totalsRowFunction="sum" dataDxfId="489" totalsRowDxfId="488" dataCellStyle="Currency"/>
    <tableColumn id="12" xr3:uid="{00000000-0010-0000-0A00-00000C000000}" name="NOV" totalsRowFunction="sum" dataDxfId="487" totalsRowDxfId="486" dataCellStyle="Currency"/>
    <tableColumn id="13" xr3:uid="{00000000-0010-0000-0A00-00000D000000}" name="DIC" totalsRowFunction="sum" dataDxfId="485" totalsRowDxfId="484" dataCellStyle="Currency"/>
    <tableColumn id="14" xr3:uid="{00000000-0010-0000-0A00-00000E000000}" name="AÑO" totalsRowFunction="sum" dataDxfId="483" totalsRowDxfId="482">
      <calculatedColumnFormula>SUM(Finanzas[[#This Row],[ENE]:[DIC]])</calculatedColumnFormula>
    </tableColumn>
    <tableColumn id="15" xr3:uid="{00000000-0010-0000-0A00-00000F000000}" name="Minigráfico" dataDxfId="481" totalsRowDxfId="480"/>
  </tableColumns>
  <tableStyleInfo showFirstColumn="1" showLastColumn="0" showRowStripes="0" showColumnStripes="1"/>
  <extLst>
    <ext xmlns:x14="http://schemas.microsoft.com/office/spreadsheetml/2009/9/main" uri="{504A1905-F514-4f6f-8877-14C23A59335A}">
      <x14:table altTextSummary="Escriba los elementos de obligaciones financieras y el importe mensual en esta tabla. Los importes totales anuales y mensuales se calculan automáticamente y se actualizan los minigráficos"/>
    </ext>
  </extLst>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Varios" displayName="Varios" ref="C95:Q97" totalsRowCount="1" headerRowDxfId="449" dataDxfId="447" totalsRowDxfId="448">
  <autoFilter ref="C95:Q96" xr:uid="{00000000-0009-0000-0100-00000C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00000000-0010-0000-0B00-000001000000}" name="Gastos Hormiga" totalsRowLabel="Total" dataDxfId="397" totalsRowDxfId="396"/>
    <tableColumn id="2" xr3:uid="{00000000-0010-0000-0B00-000002000000}" name="ENE" totalsRowFunction="sum" dataDxfId="398" totalsRowDxfId="476" dataCellStyle="Currency"/>
    <tableColumn id="3" xr3:uid="{00000000-0010-0000-0B00-000003000000}" name="FEB" totalsRowFunction="sum" dataDxfId="475" totalsRowDxfId="474" dataCellStyle="Currency"/>
    <tableColumn id="4" xr3:uid="{00000000-0010-0000-0B00-000004000000}" name="MAR" totalsRowFunction="sum" dataDxfId="473" totalsRowDxfId="472" dataCellStyle="Currency"/>
    <tableColumn id="5" xr3:uid="{00000000-0010-0000-0B00-000005000000}" name="ABR" totalsRowFunction="sum" dataDxfId="471" totalsRowDxfId="470" dataCellStyle="Currency"/>
    <tableColumn id="6" xr3:uid="{00000000-0010-0000-0B00-000006000000}" name="MAY" totalsRowFunction="sum" dataDxfId="469" totalsRowDxfId="468" dataCellStyle="Currency"/>
    <tableColumn id="7" xr3:uid="{00000000-0010-0000-0B00-000007000000}" name="JUN" totalsRowFunction="sum" dataDxfId="467" totalsRowDxfId="466" dataCellStyle="Currency"/>
    <tableColumn id="8" xr3:uid="{00000000-0010-0000-0B00-000008000000}" name="JUL" totalsRowFunction="sum" dataDxfId="465" totalsRowDxfId="464" dataCellStyle="Currency"/>
    <tableColumn id="9" xr3:uid="{00000000-0010-0000-0B00-000009000000}" name="AGO" totalsRowFunction="sum" dataDxfId="463" totalsRowDxfId="462" dataCellStyle="Currency"/>
    <tableColumn id="10" xr3:uid="{00000000-0010-0000-0B00-00000A000000}" name="SEP" totalsRowFunction="sum" dataDxfId="461" totalsRowDxfId="460" dataCellStyle="Currency"/>
    <tableColumn id="11" xr3:uid="{00000000-0010-0000-0B00-00000B000000}" name="OCT" totalsRowFunction="sum" dataDxfId="459" totalsRowDxfId="458" dataCellStyle="Currency"/>
    <tableColumn id="12" xr3:uid="{00000000-0010-0000-0B00-00000C000000}" name="NOV" totalsRowFunction="sum" dataDxfId="457" totalsRowDxfId="456" dataCellStyle="Currency"/>
    <tableColumn id="13" xr3:uid="{00000000-0010-0000-0B00-00000D000000}" name="DIC" totalsRowFunction="sum" dataDxfId="455" totalsRowDxfId="454" dataCellStyle="Currency"/>
    <tableColumn id="14" xr3:uid="{00000000-0010-0000-0B00-00000E000000}" name="AÑO" totalsRowFunction="sum" dataDxfId="453" totalsRowDxfId="452">
      <calculatedColumnFormula>SUM(Varios[[#This Row],[ENE]:[DIC]])</calculatedColumnFormula>
    </tableColumn>
    <tableColumn id="15" xr3:uid="{00000000-0010-0000-0B00-00000F000000}" name="Minigráfico" dataDxfId="451" totalsRowDxfId="450"/>
  </tableColumns>
  <tableStyleInfo showFirstColumn="1" showLastColumn="0" showRowStripes="0" showColumnStripes="1"/>
  <extLst>
    <ext xmlns:x14="http://schemas.microsoft.com/office/spreadsheetml/2009/9/main" uri="{504A1905-F514-4f6f-8877-14C23A59335A}">
      <x14:table altTextSummary="Escriba los elementos y pagos varios en esta tabla. Los importes totales anuales y mensuales se calculan automáticamente y se actualizan los minigráficos"/>
    </ext>
  </extLst>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otales" displayName="Totales" ref="C99:Q101" totalsRowShown="0" headerRowDxfId="433" dataDxfId="432">
  <tableColumns count="15">
    <tableColumn id="1" xr3:uid="{00000000-0010-0000-0C00-000001000000}" name="TOTALES" dataDxfId="394"/>
    <tableColumn id="2" xr3:uid="{00000000-0010-0000-0C00-000002000000}" name="ENE" dataDxfId="395">
      <calculatedColumnFormula>Ingresos[[#Totals],[14000]]-D99</calculatedColumnFormula>
    </tableColumn>
    <tableColumn id="3" xr3:uid="{00000000-0010-0000-0C00-000003000000}" name="FEB" dataDxfId="446">
      <calculatedColumnFormula>Ingresos[[#Totals],[Columna2]]-E99</calculatedColumnFormula>
    </tableColumn>
    <tableColumn id="4" xr3:uid="{00000000-0010-0000-0C00-000004000000}" name="MAR" dataDxfId="445">
      <calculatedColumnFormula>Ingresos[[#Totals],[Columna3]]-F99</calculatedColumnFormula>
    </tableColumn>
    <tableColumn id="5" xr3:uid="{00000000-0010-0000-0C00-000005000000}" name="ABR" dataDxfId="444">
      <calculatedColumnFormula>Ingresos[[#Totals],[Abril]]-G99</calculatedColumnFormula>
    </tableColumn>
    <tableColumn id="6" xr3:uid="{00000000-0010-0000-0C00-000006000000}" name="MAY" dataDxfId="443">
      <calculatedColumnFormula>Ingresos[[#Totals],[Mayo]]-H99</calculatedColumnFormula>
    </tableColumn>
    <tableColumn id="7" xr3:uid="{00000000-0010-0000-0C00-000007000000}" name="JUN" dataDxfId="442">
      <calculatedColumnFormula>Ingresos[[#Totals],[Junio]]-I99</calculatedColumnFormula>
    </tableColumn>
    <tableColumn id="8" xr3:uid="{00000000-0010-0000-0C00-000008000000}" name="JUL" dataDxfId="441">
      <calculatedColumnFormula>Ingresos[[#Totals],[Julio]]-J99</calculatedColumnFormula>
    </tableColumn>
    <tableColumn id="9" xr3:uid="{00000000-0010-0000-0C00-000009000000}" name="AGO" dataDxfId="440">
      <calculatedColumnFormula>Ingresos[[#Totals],[Agosto]]-K99</calculatedColumnFormula>
    </tableColumn>
    <tableColumn id="10" xr3:uid="{00000000-0010-0000-0C00-00000A000000}" name="SEP" dataDxfId="439">
      <calculatedColumnFormula>Ingresos[[#Totals],[Septiembre]]-L99</calculatedColumnFormula>
    </tableColumn>
    <tableColumn id="11" xr3:uid="{00000000-0010-0000-0C00-00000B000000}" name="OCT" dataDxfId="438">
      <calculatedColumnFormula>Ingresos[[#Totals],[Octubre]]-M99</calculatedColumnFormula>
    </tableColumn>
    <tableColumn id="12" xr3:uid="{00000000-0010-0000-0C00-00000C000000}" name="NOV" dataDxfId="437">
      <calculatedColumnFormula>Ingresos[[#Totals],[Noviembre]]-N99</calculatedColumnFormula>
    </tableColumn>
    <tableColumn id="13" xr3:uid="{00000000-0010-0000-0C00-00000D000000}" name="DIC" dataDxfId="436">
      <calculatedColumnFormula>Ingresos[[#Totals],[Diciembre]]-O99</calculatedColumnFormula>
    </tableColumn>
    <tableColumn id="14" xr3:uid="{00000000-0010-0000-0C00-00000E000000}" name="AÑO" dataDxfId="435">
      <calculatedColumnFormula>Ingresos[[#Totals],[Año]]-P99</calculatedColumnFormula>
    </tableColumn>
    <tableColumn id="15" xr3:uid="{00000000-0010-0000-0C00-00000F000000}" name="MINIGRÁFICO" dataDxfId="434"/>
  </tableColumns>
  <tableStyleInfo showFirstColumn="1" showLastColumn="0" showRowStripes="0" showColumnStripes="1"/>
  <extLst>
    <ext xmlns:x14="http://schemas.microsoft.com/office/spreadsheetml/2009/9/main" uri="{504A1905-F514-4f6f-8877-14C23A59335A}">
      <x14:table altTextSummary="El total de gastos y la escasez o el excedente de efectivo se calculan automáticamente cada mes y año completo, y los minigráficos se actualizan en esta tabla"/>
    </ext>
  </extLst>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7A606303-4686-46B4-9955-2418338EA045}" name="Ingresos15" displayName="Ingresos15" ref="C5:Q10" totalsRowCount="1" headerRowDxfId="335" dataDxfId="336" totalsRowDxfId="334" dataCellStyle="Currency">
  <autoFilter ref="C5:Q9" xr:uid="{00000000-0009-0000-0100-00000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2E279425-7FC2-484C-B8EB-56D565C67152}" name="INGRESOS" totalsRowLabel="Total" dataDxfId="351" totalsRowDxfId="393"/>
    <tableColumn id="2" xr3:uid="{1067E92C-A6C6-4B31-8E74-21AC5B84CCCA}" name="14000" totalsRowFunction="sum" dataDxfId="350" totalsRowDxfId="392" dataCellStyle="Currency"/>
    <tableColumn id="3" xr3:uid="{3EE662E3-385F-4971-A246-62679A74B5DB}" name="Columna2" totalsRowFunction="sum" dataDxfId="349" totalsRowDxfId="391" dataCellStyle="Currency"/>
    <tableColumn id="4" xr3:uid="{49B71F56-EE58-49CA-863F-8D712A698592}" name="Columna3" totalsRowFunction="sum" dataDxfId="348" totalsRowDxfId="390" dataCellStyle="Currency"/>
    <tableColumn id="5" xr3:uid="{5D6A3BB2-BFB7-4D61-9656-87EDB064DE8F}" name="Abril" totalsRowFunction="sum" dataDxfId="347" totalsRowDxfId="389" dataCellStyle="Currency"/>
    <tableColumn id="6" xr3:uid="{EB7A133C-BA2F-4123-9E48-7952221F92D4}" name="Mayo" totalsRowFunction="sum" dataDxfId="346" totalsRowDxfId="388" dataCellStyle="Currency"/>
    <tableColumn id="7" xr3:uid="{B40E01F6-BAC4-4991-B728-761D922D7809}" name="Junio" totalsRowFunction="sum" dataDxfId="345" totalsRowDxfId="387" dataCellStyle="Currency"/>
    <tableColumn id="8" xr3:uid="{774823CB-AFA2-430F-9EFC-F684C715C665}" name="Julio" totalsRowFunction="sum" dataDxfId="344" totalsRowDxfId="386" dataCellStyle="Currency"/>
    <tableColumn id="9" xr3:uid="{1D7A1F34-3416-4292-9982-D41F05E01584}" name="Agosto" totalsRowFunction="sum" dataDxfId="343" totalsRowDxfId="385" dataCellStyle="Currency"/>
    <tableColumn id="10" xr3:uid="{478289D4-E559-4362-BA36-F5065AC27A5B}" name="Septiembre" totalsRowFunction="sum" dataDxfId="342" totalsRowDxfId="384" dataCellStyle="Currency"/>
    <tableColumn id="11" xr3:uid="{09A78038-B6B7-435B-A6BE-B2275CD36E2D}" name="Octubre" totalsRowFunction="sum" dataDxfId="341" totalsRowDxfId="383" dataCellStyle="Currency"/>
    <tableColumn id="12" xr3:uid="{E7B503BD-0946-4AFA-9448-3BF2165C77B8}" name="Noviembre" totalsRowFunction="sum" dataDxfId="340" totalsRowDxfId="382" dataCellStyle="Currency"/>
    <tableColumn id="13" xr3:uid="{DF4A6F08-8B60-44EE-A1F3-FD4FF477D9F0}" name="Diciembre" totalsRowFunction="sum" dataDxfId="339" totalsRowDxfId="381" dataCellStyle="Currency"/>
    <tableColumn id="14" xr3:uid="{6D640E02-1472-4533-897C-53DD8A115238}" name="Año" totalsRowFunction="sum" dataDxfId="338" totalsRowDxfId="380" dataCellStyle="Currency">
      <calculatedColumnFormula>SUM(Ingresos15[[#This Row],[14000]:[Diciembre]])</calculatedColumnFormula>
    </tableColumn>
    <tableColumn id="15" xr3:uid="{E007B467-77BE-4316-A2C0-EBBA4D4EBB8F}" name="Minigráfico" dataDxfId="337" totalsRowDxfId="379"/>
  </tableColumns>
  <tableStyleInfo showFirstColumn="1" showLastColumn="0" showRowStripes="0" showColumnStripes="1"/>
  <extLst>
    <ext xmlns:x14="http://schemas.microsoft.com/office/spreadsheetml/2009/9/main" uri="{504A1905-F514-4f6f-8877-14C23A59335A}">
      <x14:table altTextSummary="Escriba los elementos de ingresos y el importe mensual en esta tabla. Los importes totales anuales y mensuales se calculan automáticamente y se actualizan los minigráficos"/>
    </ext>
  </extLst>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7E99F417-0D8F-481B-85C9-51041E612064}" name="Hogar16" displayName="Hogar16" ref="C13:Q32" totalsRowCount="1" headerRowDxfId="353" dataDxfId="354" totalsRowDxfId="352" dataCellStyle="Currency">
  <autoFilter ref="C13:Q31" xr:uid="{00000000-0009-0000-0100-00000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431099CC-1FC5-48FC-85F5-C0D429F4AEF0}" name="PARTICULAR" totalsRowLabel="Total" dataDxfId="153" totalsRowDxfId="74"/>
    <tableColumn id="2" xr3:uid="{1EA753FB-677E-452E-A8A9-5CA2CEFDFAE2}" name="Enero" totalsRowFunction="sum" dataDxfId="152" totalsRowDxfId="73" dataCellStyle="Currency"/>
    <tableColumn id="3" xr3:uid="{172EE87B-C193-46D6-9BAB-9B1B269CBE63}" name="Febrero" totalsRowFunction="sum" dataDxfId="151" totalsRowDxfId="72" dataCellStyle="Currency"/>
    <tableColumn id="4" xr3:uid="{0679C569-43AB-4379-A969-DD4DF27505B9}" name="Marzo" totalsRowFunction="sum" dataDxfId="150" totalsRowDxfId="71" dataCellStyle="Currency"/>
    <tableColumn id="5" xr3:uid="{B6D82BC8-F1F6-4EAD-8445-198B73CF1533}" name="Abril" totalsRowFunction="sum" dataDxfId="149" totalsRowDxfId="70" dataCellStyle="Currency"/>
    <tableColumn id="6" xr3:uid="{52CADEED-58F9-4D30-9E55-D6DBF62E882F}" name="Mayo" totalsRowFunction="sum" dataDxfId="148" totalsRowDxfId="69" dataCellStyle="Currency"/>
    <tableColumn id="7" xr3:uid="{17670B1A-F84A-450B-A6D3-E6AD357A25AF}" name="Junio" totalsRowFunction="sum" dataDxfId="147" totalsRowDxfId="68" dataCellStyle="Currency"/>
    <tableColumn id="8" xr3:uid="{2A441783-8F6E-4EAD-BEEB-7B331E4DA0AD}" name="Julio" totalsRowFunction="sum" dataDxfId="146" totalsRowDxfId="67" dataCellStyle="Currency"/>
    <tableColumn id="9" xr3:uid="{540EDD28-47B3-4020-B13D-6A5A514B3A22}" name="Agosto" totalsRowFunction="sum" dataDxfId="145" totalsRowDxfId="66" dataCellStyle="Currency"/>
    <tableColumn id="10" xr3:uid="{56111529-4067-47A3-85BF-6AFF064B81CA}" name="Septiembre" totalsRowFunction="sum" dataDxfId="144" totalsRowDxfId="65" dataCellStyle="Currency"/>
    <tableColumn id="11" xr3:uid="{0D04C909-2D8F-456F-AB89-EEDD24450C7F}" name="Octubre" totalsRowFunction="sum" dataDxfId="143" totalsRowDxfId="64" dataCellStyle="Currency"/>
    <tableColumn id="12" xr3:uid="{53E13E79-6421-43AF-92B9-B5BA285BEF88}" name="Noviembre" totalsRowFunction="sum" dataDxfId="142" totalsRowDxfId="63" dataCellStyle="Currency"/>
    <tableColumn id="13" xr3:uid="{EEA374A5-1D05-4DC8-B082-97CAD186920A}" name="Diciembre" totalsRowFunction="sum" dataDxfId="141" totalsRowDxfId="62" dataCellStyle="Currency"/>
    <tableColumn id="14" xr3:uid="{C1F27858-0092-4AFE-A367-7F61C0F2C55A}" name="Año" totalsRowFunction="sum" dataDxfId="140" totalsRowDxfId="61" dataCellStyle="Currency">
      <calculatedColumnFormula>SUM(Hogar16[[#This Row],[Enero]:[Diciembre]])</calculatedColumnFormula>
    </tableColumn>
    <tableColumn id="15" xr3:uid="{D8E8321E-B2F5-473E-8416-A64C5AB818BB}" name="Minigráfico" dataDxfId="139" totalsRowDxfId="60"/>
  </tableColumns>
  <tableStyleInfo showFirstColumn="1" showLastColumn="0" showRowStripes="0" showColumnStripes="1"/>
  <extLst>
    <ext xmlns:x14="http://schemas.microsoft.com/office/spreadsheetml/2009/9/main" uri="{504A1905-F514-4f6f-8877-14C23A59335A}">
      <x14:table altTextSummary="Escriba los elementos de gastos del hogar y el importe mensual en esta tabla. Los importes totales anuales y mensuales se calculan automáticamente y se actualizan los minigráficos"/>
    </ext>
  </extLst>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FB0271D-F094-406C-8424-03952CB4C4CC}" name="Diario17" displayName="Diario17" ref="C34:Q42" totalsRowCount="1" tableBorderDxfId="355">
  <autoFilter ref="C34:Q41"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373045CD-DF33-4E21-B368-843BD3F1A015}" name="PERSONALES" totalsRowLabel="Total" dataDxfId="333" totalsRowDxfId="138"/>
    <tableColumn id="2" xr3:uid="{BDF0FE70-743A-4F57-814C-6008A0F89FF1}" name="ENE" totalsRowFunction="sum" dataDxfId="332" totalsRowDxfId="137" dataCellStyle="Currency"/>
    <tableColumn id="3" xr3:uid="{5B251439-75BC-42C4-B555-D3C036D80607}" name="FEB" totalsRowFunction="sum" dataDxfId="331" totalsRowDxfId="136" dataCellStyle="Currency"/>
    <tableColumn id="4" xr3:uid="{A9BBF46D-8B35-448B-A18B-DE6C97EF16B4}" name="MAR" totalsRowFunction="sum" dataDxfId="330" totalsRowDxfId="135" dataCellStyle="Currency"/>
    <tableColumn id="5" xr3:uid="{04788253-E007-415E-B54D-BB2508996D17}" name="ABR" totalsRowFunction="sum" dataDxfId="329" totalsRowDxfId="134" dataCellStyle="Currency"/>
    <tableColumn id="6" xr3:uid="{24C3336C-5A90-435B-A3BF-187050127578}" name="MAY" totalsRowFunction="sum" dataDxfId="328" totalsRowDxfId="133" dataCellStyle="Currency"/>
    <tableColumn id="7" xr3:uid="{EB5744A7-F30F-4B14-AE52-F97FFD858ED1}" name="JUN" totalsRowFunction="sum" dataDxfId="327" totalsRowDxfId="132" dataCellStyle="Currency"/>
    <tableColumn id="8" xr3:uid="{80BBBD6A-EB34-4823-B040-38F1CA07C177}" name="JUL" totalsRowFunction="sum" dataDxfId="326" totalsRowDxfId="131" dataCellStyle="Currency"/>
    <tableColumn id="9" xr3:uid="{64E25731-E9AC-43EB-BB0B-264A73CFA902}" name="AGO" totalsRowFunction="sum" dataDxfId="325" totalsRowDxfId="130" dataCellStyle="Currency"/>
    <tableColumn id="10" xr3:uid="{012AAF48-9CA2-4E68-8167-E3C859F865E5}" name="SEP" totalsRowFunction="sum" dataDxfId="324" totalsRowDxfId="129" dataCellStyle="Currency"/>
    <tableColumn id="11" xr3:uid="{6F1B3459-A5FE-44E9-9965-3D372BF24B1A}" name="OCT" totalsRowFunction="sum" dataDxfId="323" totalsRowDxfId="128" dataCellStyle="Currency"/>
    <tableColumn id="12" xr3:uid="{CFB152E8-F16D-4826-8850-3436EADAEABB}" name="NOV" totalsRowFunction="sum" dataDxfId="322" totalsRowDxfId="127" dataCellStyle="Currency"/>
    <tableColumn id="13" xr3:uid="{085435C7-C776-4A14-A6F1-1244293BBF39}" name="DIC" totalsRowFunction="sum" dataDxfId="321" totalsRowDxfId="126" dataCellStyle="Currency"/>
    <tableColumn id="14" xr3:uid="{6D2FEBC8-9DF0-498A-BF35-4CDA539EF946}" name="AÑO" totalsRowFunction="sum" dataDxfId="320" totalsRowDxfId="125" dataCellStyle="Currency">
      <calculatedColumnFormula>SUM(Diario17[[#This Row],[ENE]:[DIC]])</calculatedColumnFormula>
    </tableColumn>
    <tableColumn id="15" xr3:uid="{8CAABA3E-AC1D-4D7C-A911-7EF683EBB5A7}" name="Minigráfico" dataDxfId="319" totalsRowDxfId="124"/>
  </tableColumns>
  <tableStyleInfo showFirstColumn="1" showLastColumn="0" showRowStripes="0" showColumnStripes="1"/>
  <extLst>
    <ext xmlns:x14="http://schemas.microsoft.com/office/spreadsheetml/2009/9/main" uri="{504A1905-F514-4f6f-8877-14C23A59335A}">
      <x14:table altTextSummary="Escriba los elementos de gastos diarios y el importe mensual en esta tabla. Los importes totales anuales y mensuales se calculan automáticamente y se actualizan los minigráficos"/>
    </ext>
  </extLst>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D1403BA-59C0-42DD-9599-89C1BB687F97}" name="Transporte18" displayName="Transporte18" ref="C44:Q50" totalsRowCount="1">
  <autoFilter ref="C44:Q49" xr:uid="{00000000-0009-0000-0100-000004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D4C11805-4DF8-425E-BAD2-5A3F84BD5FA1}" name="MASCOTA" totalsRowLabel="Total" dataDxfId="123" totalsRowDxfId="93"/>
    <tableColumn id="2" xr3:uid="{2BD2F755-C2B2-4FA8-967D-9008B44A59CE}" name="ENE" totalsRowFunction="sum" dataDxfId="122" totalsRowDxfId="92" dataCellStyle="Currency"/>
    <tableColumn id="3" xr3:uid="{ACF4B77B-148F-41BC-9A30-1EDFA5D4E21D}" name="FEB" totalsRowFunction="sum" dataDxfId="121" totalsRowDxfId="91" dataCellStyle="Currency"/>
    <tableColumn id="4" xr3:uid="{4B718BCD-29EE-4E3E-AF51-48071FFB197D}" name="MAR" totalsRowFunction="sum" dataDxfId="120" totalsRowDxfId="90" dataCellStyle="Currency"/>
    <tableColumn id="5" xr3:uid="{B31F9F5C-4AC8-45FB-91AC-EDF413344C22}" name="ABR" totalsRowFunction="sum" dataDxfId="119" totalsRowDxfId="89" dataCellStyle="Currency"/>
    <tableColumn id="6" xr3:uid="{F2601536-A9D2-4453-A079-ADADE6ED8A03}" name="MAY" totalsRowFunction="sum" dataDxfId="118" totalsRowDxfId="88" dataCellStyle="Currency"/>
    <tableColumn id="7" xr3:uid="{955D217D-2227-43F0-8C18-24134FD83369}" name="JUN" totalsRowFunction="sum" dataDxfId="117" totalsRowDxfId="87" dataCellStyle="Currency"/>
    <tableColumn id="8" xr3:uid="{15518F0B-14A4-4609-A1A4-B988866D7BA9}" name="JUL" totalsRowFunction="sum" dataDxfId="116" totalsRowDxfId="86" dataCellStyle="Currency"/>
    <tableColumn id="9" xr3:uid="{7FC468D2-A2BD-4BE0-99F9-FA7D88E9D2AE}" name="AGO" totalsRowFunction="sum" dataDxfId="115" totalsRowDxfId="85" dataCellStyle="Currency"/>
    <tableColumn id="10" xr3:uid="{19CA2328-C040-4F9F-ACA1-B5DEC8D6E757}" name="SEP" totalsRowFunction="sum" dataDxfId="114" totalsRowDxfId="84" dataCellStyle="Currency"/>
    <tableColumn id="11" xr3:uid="{60592166-B942-46CF-8F82-AEEEB1359781}" name="OCT" totalsRowFunction="sum" dataDxfId="113" totalsRowDxfId="83" dataCellStyle="Currency"/>
    <tableColumn id="12" xr3:uid="{046D6916-4FDB-4E2E-AC69-F1F4FC3B4417}" name="NOV" totalsRowFunction="sum" dataDxfId="112" totalsRowDxfId="82" dataCellStyle="Currency"/>
    <tableColumn id="13" xr3:uid="{9F29D9AE-7AA6-4541-A46D-8A1510070146}" name="DIC" totalsRowFunction="sum" dataDxfId="111" totalsRowDxfId="81" dataCellStyle="Currency"/>
    <tableColumn id="14" xr3:uid="{4A676075-8E3E-40DA-B7E9-596D2F7DA8C8}" name="AÑO" totalsRowFunction="sum" dataDxfId="110" totalsRowDxfId="80" dataCellStyle="Currency">
      <calculatedColumnFormula>SUM(Transporte18[[#This Row],[ENE]:[DIC]])</calculatedColumnFormula>
    </tableColumn>
    <tableColumn id="15" xr3:uid="{7B323050-E2E7-41DB-AAE9-2E35CD0AAA62}" name="Minigráfico" dataDxfId="109" totalsRowDxfId="79"/>
  </tableColumns>
  <tableStyleInfo showFirstColumn="1" showLastColumn="0" showRowStripes="0" showColumnStripes="1"/>
  <extLst>
    <ext xmlns:x14="http://schemas.microsoft.com/office/spreadsheetml/2009/9/main" uri="{504A1905-F514-4f6f-8877-14C23A59335A}">
      <x14:table altTextSummary="Escriba los elementos de gastos de transporte y el importe mensual en esta tabla. Los importes totales anuales y mensuales se calculan automáticamente y se actualizan los minigráficos"/>
    </ext>
  </extLst>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FB4077F7-6A38-4D56-B1DA-1F75C243D291}" name="Entretenimiento19" displayName="Entretenimiento19" ref="C52:Q57" totalsRowCount="1" tableBorderDxfId="356">
  <autoFilter ref="C52:Q56" xr:uid="{00000000-0009-0000-0100-000005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617665ED-80D8-4D0C-9927-8CE20DFF4489}" name="SALUD" totalsRowLabel="Total" dataDxfId="318" totalsRowDxfId="108"/>
    <tableColumn id="2" xr3:uid="{5DD18D6F-67F9-4A33-B217-CEF53439AE6C}" name="ENE" totalsRowFunction="sum" dataDxfId="317" totalsRowDxfId="107" dataCellStyle="Currency"/>
    <tableColumn id="3" xr3:uid="{8C35EE3D-A27C-4332-9B53-11D029C1C35F}" name="FEB" totalsRowFunction="sum" dataDxfId="316" totalsRowDxfId="106" dataCellStyle="Currency"/>
    <tableColumn id="4" xr3:uid="{DD0542A7-F874-4B43-A8A5-8DA4A7B0CEF9}" name="MAR" totalsRowFunction="sum" dataDxfId="315" totalsRowDxfId="105" dataCellStyle="Currency"/>
    <tableColumn id="5" xr3:uid="{2CF1BBD5-EDAD-41CA-ADF5-23E87659AB20}" name="ABR" totalsRowFunction="sum" dataDxfId="314" totalsRowDxfId="104" dataCellStyle="Currency"/>
    <tableColumn id="6" xr3:uid="{4C3C71D8-BE08-4572-A658-0DD04DD55F01}" name="MAY" totalsRowFunction="sum" dataDxfId="313" totalsRowDxfId="103" dataCellStyle="Currency"/>
    <tableColumn id="7" xr3:uid="{C01F0534-E76E-4135-AD5A-183F958DBA77}" name="JUN" totalsRowFunction="sum" dataDxfId="312" totalsRowDxfId="102" dataCellStyle="Currency"/>
    <tableColumn id="8" xr3:uid="{40CA108F-3D5F-412F-A219-44A5BAA4ECDE}" name="JUL" totalsRowFunction="sum" dataDxfId="311" totalsRowDxfId="101" dataCellStyle="Currency"/>
    <tableColumn id="9" xr3:uid="{EA40AEB0-7F81-49C9-89FF-1EE75881BE9F}" name="AGO" totalsRowFunction="sum" dataDxfId="310" totalsRowDxfId="100" dataCellStyle="Currency"/>
    <tableColumn id="10" xr3:uid="{0A428FD8-186C-419F-89CB-2F2ED0431F50}" name="SEP" totalsRowFunction="sum" dataDxfId="309" totalsRowDxfId="99" dataCellStyle="Currency"/>
    <tableColumn id="11" xr3:uid="{9250106F-00AB-4ED0-9D81-1A97B08C7368}" name="OCT" totalsRowFunction="sum" dataDxfId="308" totalsRowDxfId="98" dataCellStyle="Currency"/>
    <tableColumn id="12" xr3:uid="{FE12D107-52FA-4DCC-AAF6-6FB911C8D53A}" name="NOV" totalsRowFunction="sum" dataDxfId="307" totalsRowDxfId="97" dataCellStyle="Currency"/>
    <tableColumn id="13" xr3:uid="{C1805F83-C1A7-4122-A925-FA8A992B6F2A}" name="DIC" totalsRowFunction="sum" dataDxfId="306" totalsRowDxfId="96" dataCellStyle="Currency"/>
    <tableColumn id="14" xr3:uid="{9C42AD0E-7170-46DD-B2EA-6A9B621854F2}" name="AÑO" totalsRowFunction="sum" dataDxfId="305" totalsRowDxfId="95" dataCellStyle="Currency">
      <calculatedColumnFormula>SUM(Entretenimiento19[[#This Row],[ENE]:[DIC]])</calculatedColumnFormula>
    </tableColumn>
    <tableColumn id="15" xr3:uid="{1040F6D4-4CF8-4013-A12A-50ED3B45732D}" name="Minigráfico" dataDxfId="304" totalsRowDxfId="94"/>
  </tableColumns>
  <tableStyleInfo showFirstColumn="1" showLastColumn="0" showRowStripes="0" showColumnStripes="1"/>
  <extLst>
    <ext xmlns:x14="http://schemas.microsoft.com/office/spreadsheetml/2009/9/main" uri="{504A1905-F514-4f6f-8877-14C23A59335A}">
      <x14:table altTextSummary="Escriba los elementos de gastos de entretenimiento y el importe mensual en esta tabla. Los importes totales anuales y mensuales se calculan automáticamente y se actualizan los minigráficos"/>
    </ext>
  </extLst>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E9787354-0DC2-419A-A632-D115114CA78B}" name="Salud20" displayName="Salud20" ref="C59:Q68" totalsRowCount="1" tableBorderDxfId="357">
  <autoFilter ref="C59:Q67" xr:uid="{00000000-0009-0000-0100-000006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411B7AD5-3F9F-4230-B8FD-C6C76676B20A}" name="OTROS" totalsRowLabel="Total" dataDxfId="58" totalsRowDxfId="14"/>
    <tableColumn id="2" xr3:uid="{B652A68E-0C5C-4E36-9561-8F0528276485}" name="ENE" totalsRowFunction="sum" dataDxfId="57" totalsRowDxfId="13" dataCellStyle="Currency"/>
    <tableColumn id="3" xr3:uid="{BE8DEDD4-1EAD-4AE0-817E-DEC1102EF726}" name="FEB" totalsRowFunction="sum" dataDxfId="56" totalsRowDxfId="12" dataCellStyle="Currency"/>
    <tableColumn id="4" xr3:uid="{98BAFB12-99D4-4C1B-A0D4-BACF99F85C67}" name="MAR" totalsRowFunction="sum" dataDxfId="55" totalsRowDxfId="11" dataCellStyle="Currency"/>
    <tableColumn id="5" xr3:uid="{24D175E8-F172-45D4-AE85-BECD0C849CC1}" name="ABR" totalsRowFunction="sum" dataDxfId="54" totalsRowDxfId="10" dataCellStyle="Currency"/>
    <tableColumn id="6" xr3:uid="{F90D14E0-FC38-492A-BE0C-1DB358CDCD96}" name="MAY" totalsRowFunction="sum" dataDxfId="53" totalsRowDxfId="9" dataCellStyle="Currency"/>
    <tableColumn id="7" xr3:uid="{5FEA70C9-D7C2-4F39-90BD-CB6F2EE58CCD}" name="JUN" totalsRowFunction="sum" dataDxfId="52" totalsRowDxfId="8" dataCellStyle="Currency"/>
    <tableColumn id="8" xr3:uid="{4261EA16-1F04-4194-BE4C-5DD3977C731E}" name="JUL" totalsRowLabel=" $9,800.00 " dataDxfId="51" totalsRowDxfId="7" dataCellStyle="Currency"/>
    <tableColumn id="9" xr3:uid="{218AB48C-BE4D-49FD-9AAA-50938F84FCD1}" name="AGO" totalsRowFunction="sum" dataDxfId="50" totalsRowDxfId="6" dataCellStyle="Currency"/>
    <tableColumn id="10" xr3:uid="{0028C1A4-A20F-4EDE-B770-E653CBDD0573}" name="SEP" totalsRowFunction="sum" dataDxfId="49" totalsRowDxfId="5" dataCellStyle="Currency"/>
    <tableColumn id="11" xr3:uid="{9C5E94B2-FD7F-4A2E-A1BC-12C7E503B9EC}" name="OCT" totalsRowFunction="sum" dataDxfId="48" totalsRowDxfId="4" dataCellStyle="Currency"/>
    <tableColumn id="12" xr3:uid="{F166548D-5D28-49E2-991E-5934B6F5AAF9}" name="NOV" totalsRowLabel=" $9,050.00 " dataDxfId="59" totalsRowDxfId="3" dataCellStyle="Currency"/>
    <tableColumn id="13" xr3:uid="{75D42FAB-BFFB-4001-89EC-5A98F66635C2}" name="DIC" totalsRowFunction="sum" dataDxfId="47" totalsRowDxfId="2" dataCellStyle="Currency"/>
    <tableColumn id="14" xr3:uid="{FDBD2B73-D4B6-47DA-BE96-879580FD9E8A}" name="AÑO" totalsRowFunction="sum" dataDxfId="46" totalsRowDxfId="1" dataCellStyle="Currency">
      <calculatedColumnFormula>SUM(Salud20[[#This Row],[ENE]:[DIC]])</calculatedColumnFormula>
    </tableColumn>
    <tableColumn id="15" xr3:uid="{5DEA2A42-EDCB-4AEF-B9EA-C1781CD63FB1}" name="Minigráfico" dataDxfId="45" totalsRowDxfId="0"/>
  </tableColumns>
  <tableStyleInfo showFirstColumn="1" showLastColumn="0" showRowStripes="0" showColumnStripes="1"/>
  <extLst>
    <ext xmlns:x14="http://schemas.microsoft.com/office/spreadsheetml/2009/9/main" uri="{504A1905-F514-4f6f-8877-14C23A59335A}">
      <x14:table altTextSummary="Escriba los elementos de gastos sanitarios y el importe mensual en esta tabla. Los importes totales anuales y mensuales se calculan automáticamente y se actualizan los minigráficos"/>
    </ext>
  </extLst>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16802DBF-F244-46F6-8FFE-30DECDE736C2}" name="Vacaciones21" displayName="Vacaciones21" ref="C70:Q72" totalsRowCount="1" tableBorderDxfId="358">
  <autoFilter ref="C70:Q71" xr:uid="{00000000-0009-0000-0100-000007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117CBF92-7E3E-4777-B410-CAFD15F19DFD}" name="VACACIONES" totalsRowLabel="Total" dataDxfId="303" totalsRowDxfId="288"/>
    <tableColumn id="2" xr3:uid="{2E0BD35D-F0D8-4129-B32A-A2A80EB08E8E}" name="ENE" totalsRowFunction="sum" dataDxfId="302" totalsRowDxfId="287" dataCellStyle="Currency"/>
    <tableColumn id="3" xr3:uid="{42303B4B-3915-4871-93F0-0C4CBD127124}" name="FEB" totalsRowFunction="sum" dataDxfId="301" totalsRowDxfId="286" dataCellStyle="Currency"/>
    <tableColumn id="4" xr3:uid="{40205F6D-2654-4E08-9DE4-B83DDB592255}" name="MAR" totalsRowFunction="sum" dataDxfId="300" totalsRowDxfId="285" dataCellStyle="Currency"/>
    <tableColumn id="5" xr3:uid="{B9F819C2-C362-436A-8A99-3AD353A5BCF6}" name="ABR" totalsRowFunction="sum" dataDxfId="299" totalsRowDxfId="284" dataCellStyle="Currency"/>
    <tableColumn id="6" xr3:uid="{0E58F667-3B13-4213-8420-4C5A117B9CBF}" name="MAY" totalsRowFunction="sum" dataDxfId="298" totalsRowDxfId="283" dataCellStyle="Currency"/>
    <tableColumn id="7" xr3:uid="{A8AFE62D-067B-4B77-A2F8-B2E5929009D3}" name="JUN" totalsRowFunction="sum" dataDxfId="297" totalsRowDxfId="282" dataCellStyle="Currency"/>
    <tableColumn id="8" xr3:uid="{1C5380E5-1948-4598-93C2-E130CA6C46E5}" name="JUL" totalsRowFunction="sum" dataDxfId="296" totalsRowDxfId="281" dataCellStyle="Currency"/>
    <tableColumn id="9" xr3:uid="{68B44467-4309-44E3-9CAB-64B3D046ADA7}" name="AGO" totalsRowFunction="sum" dataDxfId="295" totalsRowDxfId="280" dataCellStyle="Currency"/>
    <tableColumn id="10" xr3:uid="{84F2F93D-5B01-4D6D-93FC-C68C46556135}" name="SEP" totalsRowFunction="sum" dataDxfId="294" totalsRowDxfId="279" dataCellStyle="Currency"/>
    <tableColumn id="11" xr3:uid="{820056E4-858A-43FE-9170-C968914AC406}" name="OCT" totalsRowFunction="sum" dataDxfId="293" totalsRowDxfId="278" dataCellStyle="Currency"/>
    <tableColumn id="12" xr3:uid="{4BDD254F-A9FC-497C-86C1-A34A0BF982FF}" name="NOV" totalsRowFunction="sum" dataDxfId="292" totalsRowDxfId="277" dataCellStyle="Currency"/>
    <tableColumn id="13" xr3:uid="{64C3FCB2-CBC5-4028-B5EF-79F5DC007373}" name="DIC" totalsRowFunction="sum" dataDxfId="291" totalsRowDxfId="276" dataCellStyle="Currency"/>
    <tableColumn id="14" xr3:uid="{A62947D6-CB4B-4867-BF7D-6A842E75D9D0}" name="AÑO" totalsRowFunction="sum" dataDxfId="290" totalsRowDxfId="275" dataCellStyle="Currency">
      <calculatedColumnFormula>SUM(Vacaciones21[[#This Row],[ENE]:[DIC]])</calculatedColumnFormula>
    </tableColumn>
    <tableColumn id="15" xr3:uid="{226A9A62-07BD-42FF-BD0D-D42537EF5A3B}" name="Minigráfico" dataDxfId="289" totalsRowDxfId="274"/>
  </tableColumns>
  <tableStyleInfo showFirstColumn="1" showLastColumn="0" showRowStripes="0" showColumnStripes="1"/>
  <extLst>
    <ext xmlns:x14="http://schemas.microsoft.com/office/spreadsheetml/2009/9/main" uri="{504A1905-F514-4f6f-8877-14C23A59335A}">
      <x14:table altTextSummary="Escriba los elementos de gastos de vacaciones y el importe mensual en esta tabla. Los importes totales anuales y mensuales se calculan automáticamente y se actualizan los minigráficos"/>
    </ext>
  </extLst>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7AAE2EA4-D29D-440E-9F10-D5376328BF2C}" name="Recreo22" displayName="Recreo22" ref="C74:Q76" totalsRowCount="1" tableBorderDxfId="359">
  <autoFilter ref="C74:Q75" xr:uid="{00000000-0009-0000-0100-000008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8116FC6C-9A2C-4C98-BB6E-7AFFB1B07FC5}" name="Ocio" totalsRowLabel="Total" dataDxfId="273" totalsRowDxfId="258"/>
    <tableColumn id="2" xr3:uid="{6B01419F-6191-428D-9D1F-F4B75A866257}" name="ENE" totalsRowFunction="sum" dataDxfId="272" totalsRowDxfId="257" dataCellStyle="Currency"/>
    <tableColumn id="3" xr3:uid="{A95F6EAF-EBF9-45B3-8430-9F443A0236C3}" name="FEB" totalsRowFunction="sum" dataDxfId="271" totalsRowDxfId="256" dataCellStyle="Currency"/>
    <tableColumn id="4" xr3:uid="{2A3412F1-A52D-425B-9FC1-270EA2DAA573}" name="MAR" totalsRowFunction="sum" dataDxfId="270" totalsRowDxfId="255" dataCellStyle="Currency"/>
    <tableColumn id="5" xr3:uid="{A4BB0C7C-9DFE-46E0-851D-6BAD8612967D}" name="ABR" totalsRowFunction="sum" dataDxfId="269" totalsRowDxfId="254" dataCellStyle="Currency"/>
    <tableColumn id="6" xr3:uid="{4336953B-0BAF-469A-9942-1248E425C8DB}" name="MAY" totalsRowFunction="sum" dataDxfId="268" totalsRowDxfId="253" dataCellStyle="Currency"/>
    <tableColumn id="7" xr3:uid="{1A662113-AE9C-4DDD-BCCC-91E6D22650BE}" name="JUN" totalsRowFunction="sum" dataDxfId="267" totalsRowDxfId="252" dataCellStyle="Currency"/>
    <tableColumn id="8" xr3:uid="{856151A2-5991-48BE-A3C5-2EDAEA8B6DCB}" name="JUL" totalsRowFunction="sum" dataDxfId="266" totalsRowDxfId="251" dataCellStyle="Currency"/>
    <tableColumn id="9" xr3:uid="{426E2B38-5B02-4A04-AE65-638ECB02CF68}" name="AGO" totalsRowFunction="sum" dataDxfId="265" totalsRowDxfId="250" dataCellStyle="Currency"/>
    <tableColumn id="10" xr3:uid="{335C5B4A-DC2D-43CD-9AA2-73A9246D0BEE}" name="SEP" totalsRowFunction="sum" dataDxfId="264" totalsRowDxfId="249" dataCellStyle="Currency"/>
    <tableColumn id="11" xr3:uid="{B90BAC49-AA5E-4526-8226-6B692A147D8E}" name="OCT" totalsRowFunction="sum" dataDxfId="263" totalsRowDxfId="248" dataCellStyle="Currency"/>
    <tableColumn id="12" xr3:uid="{67AC99F2-60B3-4F5C-93A9-D9D7B04C51A7}" name="NOV" totalsRowFunction="sum" dataDxfId="262" totalsRowDxfId="247" dataCellStyle="Currency"/>
    <tableColumn id="13" xr3:uid="{0113A013-AD0C-4FF4-8248-31ADAEBD873A}" name="DIC" totalsRowFunction="sum" dataDxfId="261" totalsRowDxfId="246" dataCellStyle="Currency"/>
    <tableColumn id="14" xr3:uid="{B5541458-8BB1-41B6-8765-23EF3BC5AF73}" name="AÑO" totalsRowFunction="sum" dataDxfId="260" totalsRowDxfId="245" dataCellStyle="Currency">
      <calculatedColumnFormula>SUM(Recreo22[[#This Row],[ENE]:[DIC]])</calculatedColumnFormula>
    </tableColumn>
    <tableColumn id="15" xr3:uid="{B4C4F5D0-0BDB-4B5F-9636-F3505B02E554}" name="Minigráfico" dataDxfId="259" totalsRowDxfId="244"/>
  </tableColumns>
  <tableStyleInfo showFirstColumn="1" showLastColumn="0" showRowStripes="0" showColumnStripes="1"/>
  <extLst>
    <ext xmlns:x14="http://schemas.microsoft.com/office/spreadsheetml/2009/9/main" uri="{504A1905-F514-4f6f-8877-14C23A59335A}">
      <x14:table altTextSummary="Escriba los elementos de gastos de recreo y el importe mensual en esta tabla. Los importes totales anuales y mensuales se calculan automáticamente y se actualizan los minigráficos"/>
    </ext>
  </extLst>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F9B26582-2B73-422D-8B53-1D2D9AE74EAB}" name="DuesAndSubscription23" displayName="DuesAndSubscription23" ref="C78:Q80" totalsRowCount="1" tableBorderDxfId="360">
  <autoFilter ref="C78:Q79" xr:uid="{00000000-0009-0000-0100-000009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BEE5066B-818F-4E7E-A42B-8C04820CB10E}" name="CUOTAS Y SUSCRIPCIONES" totalsRowLabel="Total" dataDxfId="243" totalsRowDxfId="228"/>
    <tableColumn id="2" xr3:uid="{00F7D897-E031-41E0-8D8D-4C327419FF75}" name="ENE" totalsRowFunction="sum" dataDxfId="242" totalsRowDxfId="227" dataCellStyle="Currency"/>
    <tableColumn id="3" xr3:uid="{2C4853B6-1891-4886-8F45-04DB6CE92A98}" name="FEB" totalsRowFunction="sum" dataDxfId="241" totalsRowDxfId="226" dataCellStyle="Currency"/>
    <tableColumn id="4" xr3:uid="{3994D460-CD42-4804-932F-BE43C047C488}" name="MAR" totalsRowFunction="sum" dataDxfId="240" totalsRowDxfId="225" dataCellStyle="Currency"/>
    <tableColumn id="5" xr3:uid="{23ECE334-DFB2-460D-9B04-87CA41295B0C}" name="ABR" totalsRowFunction="sum" dataDxfId="239" totalsRowDxfId="224" dataCellStyle="Currency"/>
    <tableColumn id="6" xr3:uid="{54DEE74E-619D-46B7-A3A3-42C3646133E8}" name="MAY" totalsRowFunction="sum" dataDxfId="238" totalsRowDxfId="223" dataCellStyle="Currency"/>
    <tableColumn id="7" xr3:uid="{692E4D03-A82C-47F6-9FC5-79ABF5F4FE93}" name="JUN" totalsRowFunction="sum" dataDxfId="237" totalsRowDxfId="222" dataCellStyle="Currency"/>
    <tableColumn id="8" xr3:uid="{87040BCE-D1D3-4312-9E19-1E9270C0B13D}" name="JUL" totalsRowFunction="sum" dataDxfId="236" totalsRowDxfId="221" dataCellStyle="Currency"/>
    <tableColumn id="9" xr3:uid="{EF17104B-C737-4768-9966-BFECC8A9BCE6}" name="AGO" totalsRowFunction="sum" dataDxfId="235" totalsRowDxfId="220" dataCellStyle="Currency"/>
    <tableColumn id="10" xr3:uid="{29706D33-97AE-4C2F-B044-253035A72B50}" name="SEP" totalsRowFunction="sum" dataDxfId="234" totalsRowDxfId="219" dataCellStyle="Currency"/>
    <tableColumn id="11" xr3:uid="{3ACE45A0-D384-405C-9BCC-73855CBB7D28}" name="OCT" totalsRowFunction="sum" dataDxfId="233" totalsRowDxfId="218" dataCellStyle="Currency"/>
    <tableColumn id="12" xr3:uid="{66F2AF74-2030-43A7-BB1B-D0BD1D8677E6}" name="NOV" totalsRowFunction="sum" dataDxfId="232" totalsRowDxfId="217" dataCellStyle="Currency"/>
    <tableColumn id="13" xr3:uid="{38BE0462-0AF5-4234-914B-C2FE8E5685A7}" name="DIC" totalsRowFunction="sum" dataDxfId="231" totalsRowDxfId="216" dataCellStyle="Currency"/>
    <tableColumn id="14" xr3:uid="{1C958255-AE14-47FD-BAE1-E4117BC948D4}" name="AÑO" totalsRowFunction="sum" dataDxfId="230" totalsRowDxfId="215" dataCellStyle="Currency">
      <calculatedColumnFormula>SUM(DuesAndSubscription23[[#This Row],[ENE]:[DIC]])</calculatedColumnFormula>
    </tableColumn>
    <tableColumn id="15" xr3:uid="{58A273F2-DB9C-4B4D-AC7C-349B3C393230}" name="Minigráfico" dataDxfId="229" totalsRowDxfId="214"/>
  </tableColumns>
  <tableStyleInfo showFirstColumn="1" showLastColumn="0" showRowStripes="0" showColumnStripes="1"/>
  <extLst>
    <ext xmlns:x14="http://schemas.microsoft.com/office/spreadsheetml/2009/9/main" uri="{504A1905-F514-4f6f-8877-14C23A59335A}">
      <x14:table altTextSummary="Escriba los elementos de cuotas y suscripciones y el importe mensual en esta tabla. Los importes totales anuales y mensuales se calculan automáticamente y se actualizan los minigráficos"/>
    </ext>
  </extLst>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B342DFC2-876A-45C8-BB5A-9581268AEDB5}" name="Personal24" displayName="Personal24" ref="C82:Q84" totalsRowCount="1" tableBorderDxfId="361">
  <autoFilter ref="C82:Q83" xr:uid="{00000000-0009-0000-0100-00000A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55F55627-CD7B-4EB9-AF04-DD21AFB02D0A}" name="PERSONAL" totalsRowLabel="Total" dataDxfId="213" totalsRowDxfId="198"/>
    <tableColumn id="2" xr3:uid="{ADF0402D-CD20-480C-AA9D-956FBA5F1858}" name="ENE" totalsRowFunction="sum" dataDxfId="212" totalsRowDxfId="197" dataCellStyle="Currency"/>
    <tableColumn id="3" xr3:uid="{E6D06B8E-8DA6-4B13-BB68-237A8036C74B}" name="FEB" totalsRowFunction="sum" dataDxfId="211" totalsRowDxfId="196" dataCellStyle="Currency"/>
    <tableColumn id="4" xr3:uid="{ADE51607-5178-4C68-A9AF-60F92AE3B2F5}" name="MAR" totalsRowFunction="sum" dataDxfId="210" totalsRowDxfId="195" dataCellStyle="Currency"/>
    <tableColumn id="5" xr3:uid="{FD06074C-5D57-40C8-ACB8-1FC8EFAA364C}" name="ABR" totalsRowFunction="sum" dataDxfId="209" totalsRowDxfId="194" dataCellStyle="Currency"/>
    <tableColumn id="6" xr3:uid="{89C72476-BA4E-4F11-A83D-7DE7A960B3D8}" name="MAY" totalsRowFunction="sum" dataDxfId="208" totalsRowDxfId="193" dataCellStyle="Currency"/>
    <tableColumn id="7" xr3:uid="{A473603F-8595-451A-BEAD-FF80366C676F}" name="JUN" totalsRowFunction="sum" dataDxfId="207" totalsRowDxfId="192" dataCellStyle="Currency"/>
    <tableColumn id="8" xr3:uid="{7C982820-BA17-4F00-A27B-134E29EBF5BE}" name="JUL" totalsRowFunction="sum" dataDxfId="206" totalsRowDxfId="191" dataCellStyle="Currency"/>
    <tableColumn id="9" xr3:uid="{4E7FDA60-07EA-4081-BAED-E6AF21E5360B}" name="AGO" totalsRowFunction="sum" dataDxfId="205" totalsRowDxfId="190" dataCellStyle="Currency"/>
    <tableColumn id="10" xr3:uid="{2EC59560-4C6B-4F57-AC89-ABD1BF11B1A3}" name="SEP" totalsRowFunction="sum" dataDxfId="204" totalsRowDxfId="189" dataCellStyle="Currency"/>
    <tableColumn id="11" xr3:uid="{8D6952B2-8434-4BB4-959B-06C41FEF428F}" name="OCT" totalsRowFunction="sum" dataDxfId="203" totalsRowDxfId="188" dataCellStyle="Currency"/>
    <tableColumn id="12" xr3:uid="{06801063-9D43-4AB1-A9ED-A5130180E902}" name="NOV" totalsRowFunction="sum" dataDxfId="202" totalsRowDxfId="187" dataCellStyle="Currency"/>
    <tableColumn id="13" xr3:uid="{E4D38AE8-733B-4211-A283-E1C08E2A3811}" name="DIC" totalsRowFunction="sum" dataDxfId="201" totalsRowDxfId="186" dataCellStyle="Currency"/>
    <tableColumn id="14" xr3:uid="{6B56C1EA-019F-4F30-A0BE-1137FD8E0EBF}" name="AÑO" totalsRowFunction="sum" dataDxfId="200" totalsRowDxfId="185" dataCellStyle="Currency">
      <calculatedColumnFormula>SUM(Personal24[[#This Row],[ENE]:[DIC]])</calculatedColumnFormula>
    </tableColumn>
    <tableColumn id="15" xr3:uid="{79B8B9C4-E7B2-454E-A7FD-621563194C83}" name="Minigráfico" dataDxfId="199" totalsRowDxfId="184"/>
  </tableColumns>
  <tableStyleInfo showFirstColumn="1" showLastColumn="0" showRowStripes="0" showColumnStripes="1"/>
  <extLst>
    <ext xmlns:x14="http://schemas.microsoft.com/office/spreadsheetml/2009/9/main" uri="{504A1905-F514-4f6f-8877-14C23A59335A}">
      <x14:table altTextSummary="Escriba los elementos de gastos personales y el importe mensual en esta tabla. Los importes totales anuales y mensuales se calculan automáticamente y se actualizan los minigráficos"/>
    </ext>
  </extLst>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B6416122-1492-4007-A6C7-EC3EEAFFDD4E}" name="Finanzas25" displayName="Finanzas25" ref="C86:Q93" totalsRowCount="1" tableBorderDxfId="362">
  <autoFilter ref="C86:Q92" xr:uid="{00000000-0009-0000-0100-00000B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2D70542A-30A2-4247-A94D-53DE9F56EC36}" name="OBLIGACIONES FINANCIERAS" totalsRowLabel="Total" dataDxfId="44" totalsRowDxfId="29"/>
    <tableColumn id="2" xr3:uid="{05011503-A4DD-4F2A-997D-524FEB0329E2}" name="ENE" totalsRowFunction="sum" dataDxfId="43" totalsRowDxfId="28" dataCellStyle="Currency"/>
    <tableColumn id="3" xr3:uid="{3E19862D-A7B2-466B-AE2A-376319FBD4FF}" name="FEB" totalsRowFunction="sum" dataDxfId="42" totalsRowDxfId="27" dataCellStyle="Currency"/>
    <tableColumn id="4" xr3:uid="{50C83D72-2FD1-470B-9E88-A84120B422E8}" name="MAR" totalsRowFunction="sum" dataDxfId="41" totalsRowDxfId="26" dataCellStyle="Currency"/>
    <tableColumn id="5" xr3:uid="{D7099965-933A-4895-B653-6D0F718BC975}" name="ABR" totalsRowFunction="sum" dataDxfId="40" totalsRowDxfId="25" dataCellStyle="Currency"/>
    <tableColumn id="6" xr3:uid="{A26580A2-09A7-4145-B062-C502E483F529}" name="MAY" totalsRowFunction="sum" dataDxfId="39" totalsRowDxfId="24" dataCellStyle="Currency"/>
    <tableColumn id="7" xr3:uid="{FD55B8F9-9FDC-49F7-A635-DCFCFB4DC3E2}" name="JUN" totalsRowFunction="sum" dataDxfId="38" totalsRowDxfId="23" dataCellStyle="Currency"/>
    <tableColumn id="8" xr3:uid="{7360EB5C-2B52-4B0F-9144-03D1B638B8F0}" name="JUL" totalsRowFunction="sum" dataDxfId="37" totalsRowDxfId="22" dataCellStyle="Currency"/>
    <tableColumn id="9" xr3:uid="{8F3F9D62-FDE3-46DB-B256-220053C5F9C2}" name="AGO" totalsRowFunction="sum" dataDxfId="36" totalsRowDxfId="21" dataCellStyle="Currency"/>
    <tableColumn id="10" xr3:uid="{F945DCC2-3C70-4DB5-8355-F950B3C72052}" name="SEP" totalsRowFunction="sum" dataDxfId="35" totalsRowDxfId="20" dataCellStyle="Currency"/>
    <tableColumn id="11" xr3:uid="{C1615562-5419-47D7-BFA8-A2F6229C198F}" name="OCT" totalsRowFunction="sum" dataDxfId="34" totalsRowDxfId="19" dataCellStyle="Currency"/>
    <tableColumn id="12" xr3:uid="{E20E637D-807F-41B0-AA6E-E02F9E21AC23}" name="NOV" totalsRowFunction="sum" dataDxfId="33" totalsRowDxfId="18" dataCellStyle="Currency"/>
    <tableColumn id="13" xr3:uid="{B4AAF4BB-0163-41EA-9549-AFF30D92291C}" name="DIC" totalsRowFunction="sum" dataDxfId="32" totalsRowDxfId="17" dataCellStyle="Currency"/>
    <tableColumn id="14" xr3:uid="{F02EA8BE-4CBA-447B-A744-AA667A336CA7}" name="AÑO" totalsRowFunction="sum" dataDxfId="31" totalsRowDxfId="16" dataCellStyle="Currency">
      <calculatedColumnFormula>SUM(Finanzas25[[#This Row],[ENE]:[DIC]])</calculatedColumnFormula>
    </tableColumn>
    <tableColumn id="15" xr3:uid="{3D42AF1B-95AA-46BC-B685-A2015CD61634}" name="Minigráfico" dataDxfId="30" totalsRowDxfId="15"/>
  </tableColumns>
  <tableStyleInfo showFirstColumn="1" showLastColumn="0" showRowStripes="0" showColumnStripes="1"/>
  <extLst>
    <ext xmlns:x14="http://schemas.microsoft.com/office/spreadsheetml/2009/9/main" uri="{504A1905-F514-4f6f-8877-14C23A59335A}">
      <x14:table altTextSummary="Escriba los elementos de obligaciones financieras y el importe mensual en esta tabla. Los importes totales anuales y mensuales se calculan automáticamente y se actualizan los minigráficos"/>
    </ext>
  </extLst>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D9ED52EE-90DD-4FC2-9FED-80C2DF3227A6}" name="Varios26" displayName="Varios26" ref="C95:Q97" totalsRowCount="1" tableBorderDxfId="363">
  <autoFilter ref="C95:Q96" xr:uid="{00000000-0009-0000-0100-00000C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47B7A61A-B590-4DDD-B667-715FE30CD7EA}" name="Gastos Hormiga" totalsRowLabel="Total" dataDxfId="183" totalsRowDxfId="168"/>
    <tableColumn id="2" xr3:uid="{AB9F9054-4F25-4280-B0C3-1CDEC4895756}" name="ENE" totalsRowFunction="sum" dataDxfId="182" totalsRowDxfId="167" dataCellStyle="Currency"/>
    <tableColumn id="3" xr3:uid="{9EF9F572-D332-460C-A2ED-0D76B8F5C4EA}" name="FEB" totalsRowFunction="sum" dataDxfId="181" totalsRowDxfId="166" dataCellStyle="Currency"/>
    <tableColumn id="4" xr3:uid="{BE78D249-C7A4-42A7-A2E1-2820FFC2489C}" name="MAR" totalsRowFunction="sum" dataDxfId="180" totalsRowDxfId="165" dataCellStyle="Currency"/>
    <tableColumn id="5" xr3:uid="{9DDC44EF-D8B4-471A-8C37-2491A73C1692}" name="ABR" totalsRowFunction="sum" dataDxfId="179" totalsRowDxfId="164" dataCellStyle="Currency"/>
    <tableColumn id="6" xr3:uid="{2297E9AF-3993-4694-8860-D39AAB85552B}" name="MAY" totalsRowFunction="sum" dataDxfId="178" totalsRowDxfId="163" dataCellStyle="Currency"/>
    <tableColumn id="7" xr3:uid="{0A65264F-DB0F-41DC-8A1B-6B6534AC738F}" name="JUN" totalsRowFunction="sum" dataDxfId="177" totalsRowDxfId="162" dataCellStyle="Currency"/>
    <tableColumn id="8" xr3:uid="{DA56AFB2-F3EF-4B74-B9F3-AF5DC0BCA2F3}" name="JUL" totalsRowFunction="sum" dataDxfId="176" totalsRowDxfId="161" dataCellStyle="Currency"/>
    <tableColumn id="9" xr3:uid="{12A57EBD-26A9-4E34-B503-3A8276A6898C}" name="AGO" totalsRowFunction="sum" dataDxfId="175" totalsRowDxfId="160" dataCellStyle="Currency"/>
    <tableColumn id="10" xr3:uid="{571AE396-B675-423B-82DF-78440103BF61}" name="SEP" totalsRowFunction="sum" dataDxfId="174" totalsRowDxfId="159" dataCellStyle="Currency"/>
    <tableColumn id="11" xr3:uid="{763CFE98-832B-44B3-81F5-D87BCFD38692}" name="OCT" totalsRowFunction="sum" dataDxfId="173" totalsRowDxfId="158" dataCellStyle="Currency"/>
    <tableColumn id="12" xr3:uid="{C9106176-DCDD-457A-963D-AA7469069908}" name="NOV" totalsRowFunction="sum" dataDxfId="172" totalsRowDxfId="157" dataCellStyle="Currency"/>
    <tableColumn id="13" xr3:uid="{A47B4B40-C53C-4B9C-B07E-6CA275E78F90}" name="DIC" totalsRowFunction="sum" dataDxfId="171" totalsRowDxfId="156" dataCellStyle="Currency"/>
    <tableColumn id="14" xr3:uid="{C1FA3E51-64DA-4638-8157-F465D7512AED}" name="AÑO" totalsRowFunction="sum" dataDxfId="170" totalsRowDxfId="155" dataCellStyle="Currency">
      <calculatedColumnFormula>SUM(Varios26[[#This Row],[ENE]:[DIC]])</calculatedColumnFormula>
    </tableColumn>
    <tableColumn id="15" xr3:uid="{B157B602-D33D-4A5D-91F7-3FD0F8F68C22}" name="Minigráfico" dataDxfId="169" totalsRowDxfId="154"/>
  </tableColumns>
  <tableStyleInfo showFirstColumn="1" showLastColumn="0" showRowStripes="0" showColumnStripes="1"/>
  <extLst>
    <ext xmlns:x14="http://schemas.microsoft.com/office/spreadsheetml/2009/9/main" uri="{504A1905-F514-4f6f-8877-14C23A59335A}">
      <x14:table altTextSummary="Escriba los elementos y pagos varios en esta tabla. Los importes totales anuales y mensuales se calculan automáticamente y se actualizan los minigráficos"/>
    </ext>
  </extLst>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77F8E60A-7FC5-4B99-8332-CDB35D0E6245}" name="Totales27" displayName="Totales27" ref="C99:Q101" totalsRowShown="0">
  <tableColumns count="15">
    <tableColumn id="1" xr3:uid="{E9E60B9D-DACA-4C5F-82EE-815907FA8F2E}" name="TOTALES" dataDxfId="378"/>
    <tableColumn id="2" xr3:uid="{D3BBA1EC-D990-4F4D-ACD2-C70E7F948CDD}" name="ENE" dataDxfId="377" dataCellStyle="Currency">
      <calculatedColumnFormula>Ingresos15[[#Totals],[14000]]-D99</calculatedColumnFormula>
    </tableColumn>
    <tableColumn id="3" xr3:uid="{F118E360-4C62-4230-97D9-456DA6E1CB04}" name="FEB" dataDxfId="376" dataCellStyle="Currency">
      <calculatedColumnFormula>Ingresos15[[#Totals],[Columna2]]-E99</calculatedColumnFormula>
    </tableColumn>
    <tableColumn id="4" xr3:uid="{5B445DE3-3B0A-451E-8A9E-FD8F99F50355}" name="MAR" dataDxfId="375" dataCellStyle="Currency">
      <calculatedColumnFormula>Ingresos15[[#Totals],[Columna3]]-F99</calculatedColumnFormula>
    </tableColumn>
    <tableColumn id="5" xr3:uid="{09DB3864-D8AB-412F-9A2C-71A63C74F7F7}" name="ABR" dataDxfId="374" dataCellStyle="Currency">
      <calculatedColumnFormula>Ingresos15[[#Totals],[Abril]]-G99</calculatedColumnFormula>
    </tableColumn>
    <tableColumn id="6" xr3:uid="{BB99894C-73E9-4748-B98C-82D1E07FE467}" name="MAY" dataDxfId="373" dataCellStyle="Currency">
      <calculatedColumnFormula>Ingresos15[[#Totals],[Mayo]]-H99</calculatedColumnFormula>
    </tableColumn>
    <tableColumn id="7" xr3:uid="{D145E5C2-EF25-491D-B7A8-0C0803721ED1}" name="JUN" dataDxfId="372" dataCellStyle="Currency">
      <calculatedColumnFormula>Ingresos15[[#Totals],[Junio]]-I99</calculatedColumnFormula>
    </tableColumn>
    <tableColumn id="8" xr3:uid="{A842F6DB-7EF8-45A2-9DA4-608E0BE491C0}" name="JUL" dataDxfId="371" dataCellStyle="Currency">
      <calculatedColumnFormula>Ingresos15[[#Totals],[Julio]]-J99</calculatedColumnFormula>
    </tableColumn>
    <tableColumn id="9" xr3:uid="{598AA9C9-6431-445D-9FA4-7535E9218A24}" name="AGO" dataDxfId="370" dataCellStyle="Currency">
      <calculatedColumnFormula>Ingresos15[[#Totals],[Agosto]]-K99</calculatedColumnFormula>
    </tableColumn>
    <tableColumn id="10" xr3:uid="{581BC01B-5AD8-4B7F-A6D6-36568C97BE28}" name="SEP" dataDxfId="369" dataCellStyle="Currency">
      <calculatedColumnFormula>Ingresos15[[#Totals],[Septiembre]]-L99</calculatedColumnFormula>
    </tableColumn>
    <tableColumn id="11" xr3:uid="{9465D60B-050C-4410-9577-573CD809577D}" name="OCT" dataDxfId="368" dataCellStyle="Currency">
      <calculatedColumnFormula>Ingresos15[[#Totals],[Octubre]]-M99</calculatedColumnFormula>
    </tableColumn>
    <tableColumn id="12" xr3:uid="{99EDFBD4-F29E-46BA-A2E9-3D81B880D3F2}" name="NOV" dataDxfId="367" dataCellStyle="Currency">
      <calculatedColumnFormula>Ingresos15[[#Totals],[Noviembre]]-N99</calculatedColumnFormula>
    </tableColumn>
    <tableColumn id="13" xr3:uid="{82815EBC-FF7E-4992-92F4-99220AC0977F}" name="DIC" dataDxfId="366" dataCellStyle="Currency">
      <calculatedColumnFormula>Ingresos15[[#Totals],[Diciembre]]-O99</calculatedColumnFormula>
    </tableColumn>
    <tableColumn id="14" xr3:uid="{F4233361-848B-4C41-BFD0-C56E497240F2}" name="AÑO" dataDxfId="365" dataCellStyle="Currency">
      <calculatedColumnFormula>Ingresos15[[#Totals],[Año]]-P99</calculatedColumnFormula>
    </tableColumn>
    <tableColumn id="15" xr3:uid="{A6A791E3-6F15-4E29-996C-11898677278B}" name="MINIGRÁFICO" dataDxfId="364"/>
  </tableColumns>
  <tableStyleInfo showFirstColumn="1" showLastColumn="0" showRowStripes="0" showColumnStripes="1"/>
  <extLst>
    <ext xmlns:x14="http://schemas.microsoft.com/office/spreadsheetml/2009/9/main" uri="{504A1905-F514-4f6f-8877-14C23A59335A}">
      <x14:table altTextSummary="El total de gastos y la escasez o el excedente de efectivo se calculan automáticamente cada mes y año completo, y los minigráficos se actualizan en esta tabla"/>
    </ext>
  </extLst>
</table>
</file>

<file path=xl/theme/theme1.xml><?xml version="1.0" encoding="utf-8"?>
<a:theme xmlns:a="http://schemas.openxmlformats.org/drawingml/2006/main" name="Office Theme">
  <a:themeElements>
    <a:clrScheme name="Custom 23">
      <a:dk1>
        <a:sysClr val="windowText" lastClr="000000"/>
      </a:dk1>
      <a:lt1>
        <a:sysClr val="window" lastClr="FFFFFF"/>
      </a:lt1>
      <a:dk2>
        <a:srgbClr val="304157"/>
      </a:dk2>
      <a:lt2>
        <a:srgbClr val="E7E6E6"/>
      </a:lt2>
      <a:accent1>
        <a:srgbClr val="1B79AD"/>
      </a:accent1>
      <a:accent2>
        <a:srgbClr val="1D7B7D"/>
      </a:accent2>
      <a:accent3>
        <a:srgbClr val="EF4755"/>
      </a:accent3>
      <a:accent4>
        <a:srgbClr val="FFC000"/>
      </a:accent4>
      <a:accent5>
        <a:srgbClr val="176795"/>
      </a:accent5>
      <a:accent6>
        <a:srgbClr val="4D81BF"/>
      </a:accent6>
      <a:hlink>
        <a:srgbClr val="F78F2F"/>
      </a:hlink>
      <a:folHlink>
        <a:srgbClr val="F78F2F"/>
      </a:folHlink>
    </a:clrScheme>
    <a:fontScheme name="Custom 13">
      <a:majorFont>
        <a:latin typeface="Gill Sans MT"/>
        <a:ea typeface=""/>
        <a:cs typeface=""/>
      </a:majorFont>
      <a:minorFont>
        <a:latin typeface="verdana"/>
        <a:ea typeface=""/>
        <a:cs typeface=""/>
      </a:minorFont>
    </a:fontScheme>
    <a:fmtScheme name="Office">
      <a:fillStyleLst>
        <a:solidFill>
          <a:schemeClr val="phClr"/>
        </a:solidFill>
        <a:gradFill rotWithShape="1">
          <a:gsLst>
            <a:gs pos="0">
              <a:schemeClr val="phClr">
                <a:lumMod val="157000"/>
                <a:satMod val="101000"/>
              </a:schemeClr>
            </a:gs>
            <a:gs pos="50000">
              <a:schemeClr val="phClr">
                <a:lumMod val="137000"/>
                <a:satMod val="103000"/>
              </a:schemeClr>
            </a:gs>
            <a:gs pos="100000">
              <a:schemeClr val="phClr">
                <a:lumMod val="115000"/>
                <a:satMod val="109000"/>
              </a:schemeClr>
            </a:gs>
          </a:gsLst>
          <a:lin ang="5400000" scaled="0"/>
        </a:gradFill>
        <a:gradFill rotWithShape="1">
          <a:gsLst>
            <a:gs pos="0">
              <a:schemeClr val="phClr">
                <a:satMod val="103000"/>
                <a:lumMod val="118000"/>
              </a:schemeClr>
            </a:gs>
            <a:gs pos="50000">
              <a:schemeClr val="phClr">
                <a:satMod val="89000"/>
                <a:lumMod val="91000"/>
              </a:schemeClr>
            </a:gs>
            <a:gs pos="100000">
              <a:schemeClr val="phClr">
                <a:lumMod val="69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gradFill rotWithShape="1">
          <a:gsLst>
            <a:gs pos="0">
              <a:schemeClr val="phClr">
                <a:tint val="100000"/>
                <a:satMod val="100000"/>
                <a:shade val="0"/>
              </a:schemeClr>
            </a:gs>
            <a:gs pos="0">
              <a:scrgbClr r="0" g="0" b="0"/>
            </a:gs>
            <a:gs pos="100000">
              <a:schemeClr val="phClr">
                <a:shade val="100000"/>
                <a:satMod val="100000"/>
              </a:schemeClr>
            </a:gs>
          </a:gsLst>
          <a:lin ang="54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table" Target="../tables/table6.xml"/><Relationship Id="rId13" Type="http://schemas.openxmlformats.org/officeDocument/2006/relationships/table" Target="../tables/table11.xml"/><Relationship Id="rId3" Type="http://schemas.openxmlformats.org/officeDocument/2006/relationships/table" Target="../tables/table1.xml"/><Relationship Id="rId7" Type="http://schemas.openxmlformats.org/officeDocument/2006/relationships/table" Target="../tables/table5.xml"/><Relationship Id="rId12" Type="http://schemas.openxmlformats.org/officeDocument/2006/relationships/table" Target="../tables/table10.xml"/><Relationship Id="rId2" Type="http://schemas.openxmlformats.org/officeDocument/2006/relationships/drawing" Target="../drawings/drawing2.xml"/><Relationship Id="rId1" Type="http://schemas.openxmlformats.org/officeDocument/2006/relationships/printerSettings" Target="../printerSettings/printerSettings1.bin"/><Relationship Id="rId6" Type="http://schemas.openxmlformats.org/officeDocument/2006/relationships/table" Target="../tables/table4.xml"/><Relationship Id="rId11" Type="http://schemas.openxmlformats.org/officeDocument/2006/relationships/table" Target="../tables/table9.xml"/><Relationship Id="rId5" Type="http://schemas.openxmlformats.org/officeDocument/2006/relationships/table" Target="../tables/table3.xml"/><Relationship Id="rId15" Type="http://schemas.openxmlformats.org/officeDocument/2006/relationships/table" Target="../tables/table13.xml"/><Relationship Id="rId10" Type="http://schemas.openxmlformats.org/officeDocument/2006/relationships/table" Target="../tables/table8.xml"/><Relationship Id="rId4" Type="http://schemas.openxmlformats.org/officeDocument/2006/relationships/table" Target="../tables/table2.xml"/><Relationship Id="rId9" Type="http://schemas.openxmlformats.org/officeDocument/2006/relationships/table" Target="../tables/table7.xml"/><Relationship Id="rId14" Type="http://schemas.openxmlformats.org/officeDocument/2006/relationships/table" Target="../tables/table12.xml"/></Relationships>
</file>

<file path=xl/worksheets/_rels/sheet2.xml.rels><?xml version="1.0" encoding="UTF-8" standalone="yes"?>
<Relationships xmlns="http://schemas.openxmlformats.org/package/2006/relationships"><Relationship Id="rId8" Type="http://schemas.openxmlformats.org/officeDocument/2006/relationships/table" Target="../tables/table19.xml"/><Relationship Id="rId13" Type="http://schemas.openxmlformats.org/officeDocument/2006/relationships/table" Target="../tables/table24.xml"/><Relationship Id="rId3" Type="http://schemas.openxmlformats.org/officeDocument/2006/relationships/table" Target="../tables/table14.xml"/><Relationship Id="rId7" Type="http://schemas.openxmlformats.org/officeDocument/2006/relationships/table" Target="../tables/table18.xml"/><Relationship Id="rId12" Type="http://schemas.openxmlformats.org/officeDocument/2006/relationships/table" Target="../tables/table23.xml"/><Relationship Id="rId2" Type="http://schemas.openxmlformats.org/officeDocument/2006/relationships/drawing" Target="../drawings/drawing3.xml"/><Relationship Id="rId1" Type="http://schemas.openxmlformats.org/officeDocument/2006/relationships/printerSettings" Target="../printerSettings/printerSettings2.bin"/><Relationship Id="rId6" Type="http://schemas.openxmlformats.org/officeDocument/2006/relationships/table" Target="../tables/table17.xml"/><Relationship Id="rId11" Type="http://schemas.openxmlformats.org/officeDocument/2006/relationships/table" Target="../tables/table22.xml"/><Relationship Id="rId5" Type="http://schemas.openxmlformats.org/officeDocument/2006/relationships/table" Target="../tables/table16.xml"/><Relationship Id="rId15" Type="http://schemas.openxmlformats.org/officeDocument/2006/relationships/table" Target="../tables/table26.xml"/><Relationship Id="rId10" Type="http://schemas.openxmlformats.org/officeDocument/2006/relationships/table" Target="../tables/table21.xml"/><Relationship Id="rId4" Type="http://schemas.openxmlformats.org/officeDocument/2006/relationships/table" Target="../tables/table15.xml"/><Relationship Id="rId9" Type="http://schemas.openxmlformats.org/officeDocument/2006/relationships/table" Target="../tables/table20.xml"/><Relationship Id="rId14" Type="http://schemas.openxmlformats.org/officeDocument/2006/relationships/table" Target="../tables/table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theme="4"/>
    <pageSetUpPr autoPageBreaks="0" fitToPage="1"/>
  </sheetPr>
  <dimension ref="A1:Q102"/>
  <sheetViews>
    <sheetView showGridLines="0" topLeftCell="J2" zoomScale="85" zoomScaleNormal="85" workbookViewId="0">
      <selection activeCell="Q2" activeCellId="1" sqref="D5 Q1:Q1048576"/>
    </sheetView>
  </sheetViews>
  <sheetFormatPr defaultColWidth="9" defaultRowHeight="30" customHeight="1" x14ac:dyDescent="0.3"/>
  <cols>
    <col min="1" max="1" width="4.69140625" style="10" customWidth="1"/>
    <col min="2" max="2" width="1.921875" customWidth="1"/>
    <col min="3" max="3" width="46.23046875" bestFit="1" customWidth="1"/>
    <col min="4" max="15" width="12.3828125" style="1" customWidth="1"/>
    <col min="16" max="16" width="12.921875" style="1" bestFit="1" customWidth="1"/>
    <col min="17" max="17" width="15" bestFit="1" customWidth="1"/>
    <col min="18" max="18" width="2.61328125" customWidth="1"/>
  </cols>
  <sheetData>
    <row r="1" spans="1:17" ht="12.75" customHeight="1" x14ac:dyDescent="0.3">
      <c r="A1" s="10" t="s">
        <v>0</v>
      </c>
    </row>
    <row r="2" spans="1:17" ht="35.25" customHeight="1" thickBot="1" x14ac:dyDescent="1.05">
      <c r="A2" s="11" t="s">
        <v>1</v>
      </c>
      <c r="B2" s="16" t="s">
        <v>15</v>
      </c>
      <c r="C2" s="16"/>
      <c r="D2" s="16"/>
      <c r="E2" s="17"/>
      <c r="F2" s="17"/>
      <c r="G2" s="17"/>
      <c r="H2" s="17"/>
      <c r="I2" s="17"/>
      <c r="J2" s="17"/>
      <c r="K2" s="17"/>
      <c r="L2" s="17"/>
      <c r="M2" s="17"/>
      <c r="N2" s="17"/>
      <c r="O2" s="17"/>
      <c r="P2" s="17"/>
      <c r="Q2" s="9">
        <f ca="1">YEAR(TODAY())</f>
        <v>2025</v>
      </c>
    </row>
    <row r="3" spans="1:17" ht="26.25" customHeight="1" x14ac:dyDescent="0.3">
      <c r="E3" s="8"/>
    </row>
    <row r="4" spans="1:17" ht="21" customHeight="1" x14ac:dyDescent="0.3">
      <c r="A4" s="10" t="s">
        <v>2</v>
      </c>
      <c r="B4" s="2"/>
      <c r="C4" s="61" t="s">
        <v>58</v>
      </c>
      <c r="D4" s="27" t="s">
        <v>31</v>
      </c>
      <c r="E4" s="27" t="s">
        <v>33</v>
      </c>
      <c r="F4" s="27" t="s">
        <v>35</v>
      </c>
      <c r="G4" s="27" t="s">
        <v>37</v>
      </c>
      <c r="H4" s="27" t="s">
        <v>59</v>
      </c>
      <c r="I4" s="27" t="s">
        <v>40</v>
      </c>
      <c r="J4" s="27" t="s">
        <v>42</v>
      </c>
      <c r="K4" s="27" t="s">
        <v>44</v>
      </c>
      <c r="L4" s="27" t="s">
        <v>46</v>
      </c>
      <c r="M4" s="27" t="s">
        <v>48</v>
      </c>
      <c r="N4" s="27" t="s">
        <v>50</v>
      </c>
      <c r="O4" s="27" t="s">
        <v>52</v>
      </c>
      <c r="P4" s="27" t="s">
        <v>54</v>
      </c>
      <c r="Q4" s="27"/>
    </row>
    <row r="5" spans="1:17" ht="15.9" customHeight="1" x14ac:dyDescent="0.3">
      <c r="A5" s="11" t="s">
        <v>3</v>
      </c>
      <c r="B5" s="2"/>
      <c r="C5" s="62" t="s">
        <v>16</v>
      </c>
      <c r="D5" s="26" t="s">
        <v>65</v>
      </c>
      <c r="E5" s="26" t="s">
        <v>63</v>
      </c>
      <c r="F5" s="26" t="s">
        <v>64</v>
      </c>
      <c r="G5" s="26" t="s">
        <v>38</v>
      </c>
      <c r="H5" s="26" t="s">
        <v>39</v>
      </c>
      <c r="I5" s="26" t="s">
        <v>41</v>
      </c>
      <c r="J5" s="26" t="s">
        <v>43</v>
      </c>
      <c r="K5" s="26" t="s">
        <v>45</v>
      </c>
      <c r="L5" s="26" t="s">
        <v>47</v>
      </c>
      <c r="M5" s="26" t="s">
        <v>49</v>
      </c>
      <c r="N5" s="26" t="s">
        <v>51</v>
      </c>
      <c r="O5" s="26" t="s">
        <v>53</v>
      </c>
      <c r="P5" s="26" t="s">
        <v>55</v>
      </c>
      <c r="Q5" s="26" t="s">
        <v>56</v>
      </c>
    </row>
    <row r="6" spans="1:17" ht="15.9" customHeight="1" x14ac:dyDescent="0.3">
      <c r="B6" s="2"/>
      <c r="C6" s="63" t="s">
        <v>17</v>
      </c>
      <c r="D6" s="28"/>
      <c r="E6" s="28"/>
      <c r="F6" s="28"/>
      <c r="G6" s="28"/>
      <c r="H6" s="28"/>
      <c r="I6" s="28"/>
      <c r="J6" s="28"/>
      <c r="K6" s="28"/>
      <c r="L6" s="28"/>
      <c r="M6" s="28"/>
      <c r="N6" s="28"/>
      <c r="O6" s="28"/>
      <c r="P6" s="28">
        <f>SUM(Ingresos[[#This Row],[14000]:[Diciembre]])</f>
        <v>0</v>
      </c>
      <c r="Q6" s="29"/>
    </row>
    <row r="7" spans="1:17" ht="15.9" customHeight="1" x14ac:dyDescent="0.3">
      <c r="B7" s="2"/>
      <c r="C7" s="63" t="s">
        <v>18</v>
      </c>
      <c r="D7" s="28"/>
      <c r="E7" s="28"/>
      <c r="F7" s="28"/>
      <c r="G7" s="28"/>
      <c r="H7" s="28"/>
      <c r="I7" s="28"/>
      <c r="J7" s="28"/>
      <c r="K7" s="28"/>
      <c r="L7" s="28"/>
      <c r="M7" s="28"/>
      <c r="N7" s="28"/>
      <c r="O7" s="28"/>
      <c r="P7" s="28">
        <f>SUM(Ingresos[[#This Row],[14000]:[Diciembre]])</f>
        <v>0</v>
      </c>
      <c r="Q7" s="30"/>
    </row>
    <row r="8" spans="1:17" ht="15.9" customHeight="1" x14ac:dyDescent="0.3">
      <c r="B8" s="2"/>
      <c r="C8" s="63" t="s">
        <v>19</v>
      </c>
      <c r="D8" s="28"/>
      <c r="E8" s="28"/>
      <c r="F8" s="28"/>
      <c r="G8" s="28"/>
      <c r="H8" s="28"/>
      <c r="I8" s="28"/>
      <c r="J8" s="28"/>
      <c r="K8" s="28"/>
      <c r="L8" s="28"/>
      <c r="M8" s="28"/>
      <c r="N8" s="28"/>
      <c r="O8" s="28"/>
      <c r="P8" s="28">
        <f>SUM(Ingresos[[#This Row],[14000]:[Diciembre]])</f>
        <v>0</v>
      </c>
      <c r="Q8" s="29"/>
    </row>
    <row r="9" spans="1:17" ht="21" customHeight="1" x14ac:dyDescent="0.3">
      <c r="B9" s="2"/>
      <c r="C9" s="64" t="s">
        <v>110</v>
      </c>
      <c r="D9" s="28"/>
      <c r="E9" s="28"/>
      <c r="F9" s="28"/>
      <c r="G9" s="28"/>
      <c r="H9" s="28"/>
      <c r="I9" s="28"/>
      <c r="J9" s="28"/>
      <c r="K9" s="28"/>
      <c r="L9" s="28"/>
      <c r="M9" s="28"/>
      <c r="N9" s="28"/>
      <c r="O9" s="28"/>
      <c r="P9" s="28">
        <f>SUM(Ingresos[[#This Row],[14000]:[Diciembre]])</f>
        <v>0</v>
      </c>
      <c r="Q9" s="29"/>
    </row>
    <row r="10" spans="1:17" ht="24" customHeight="1" thickBot="1" x14ac:dyDescent="0.35">
      <c r="B10" s="2"/>
      <c r="C10" s="65" t="s">
        <v>20</v>
      </c>
      <c r="D10" s="31">
        <f>SUBTOTAL(109,Ingresos[14000])</f>
        <v>0</v>
      </c>
      <c r="E10" s="31">
        <f>SUBTOTAL(109,Ingresos[Columna2])</f>
        <v>0</v>
      </c>
      <c r="F10" s="31">
        <f>SUBTOTAL(109,Ingresos[Columna3])</f>
        <v>0</v>
      </c>
      <c r="G10" s="31">
        <f>SUBTOTAL(109,Ingresos[Abril])</f>
        <v>0</v>
      </c>
      <c r="H10" s="31">
        <f>SUBTOTAL(109,Ingresos[Mayo])</f>
        <v>0</v>
      </c>
      <c r="I10" s="31">
        <f>SUBTOTAL(109,Ingresos[Junio])</f>
        <v>0</v>
      </c>
      <c r="J10" s="31">
        <f>SUBTOTAL(109,Ingresos[Julio])</f>
        <v>0</v>
      </c>
      <c r="K10" s="31">
        <f>SUBTOTAL(109,Ingresos[Agosto])</f>
        <v>0</v>
      </c>
      <c r="L10" s="31">
        <f>SUBTOTAL(109,Ingresos[Septiembre])</f>
        <v>0</v>
      </c>
      <c r="M10" s="31">
        <f>SUBTOTAL(109,Ingresos[Octubre])</f>
        <v>0</v>
      </c>
      <c r="N10" s="31">
        <f>SUBTOTAL(109,Ingresos[Noviembre])</f>
        <v>0</v>
      </c>
      <c r="O10" s="31">
        <f>SUBTOTAL(109,Ingresos[Diciembre])</f>
        <v>0</v>
      </c>
      <c r="P10" s="31">
        <f>SUBTOTAL(109,Ingresos[Año])</f>
        <v>0</v>
      </c>
      <c r="Q10" s="32"/>
    </row>
    <row r="11" spans="1:17" ht="21" customHeight="1" thickTop="1" x14ac:dyDescent="0.3">
      <c r="A11" s="10" t="s">
        <v>4</v>
      </c>
      <c r="B11" s="18"/>
      <c r="C11" s="66"/>
      <c r="D11" s="33"/>
      <c r="E11" s="33"/>
      <c r="F11" s="33"/>
      <c r="G11" s="33"/>
      <c r="H11" s="33"/>
      <c r="I11" s="33"/>
      <c r="J11" s="33"/>
      <c r="K11" s="33"/>
      <c r="L11" s="33"/>
      <c r="M11" s="33"/>
      <c r="N11" s="33"/>
      <c r="O11" s="33"/>
      <c r="P11" s="33"/>
      <c r="Q11" s="33"/>
    </row>
    <row r="12" spans="1:17" ht="15.9" customHeight="1" x14ac:dyDescent="0.3">
      <c r="A12" s="10" t="s">
        <v>5</v>
      </c>
      <c r="B12" s="3"/>
      <c r="C12" s="61" t="s">
        <v>21</v>
      </c>
      <c r="D12" s="27" t="s">
        <v>31</v>
      </c>
      <c r="E12" s="27" t="s">
        <v>33</v>
      </c>
      <c r="F12" s="27" t="s">
        <v>35</v>
      </c>
      <c r="G12" s="27" t="s">
        <v>37</v>
      </c>
      <c r="H12" s="27" t="s">
        <v>59</v>
      </c>
      <c r="I12" s="27" t="s">
        <v>40</v>
      </c>
      <c r="J12" s="27" t="s">
        <v>42</v>
      </c>
      <c r="K12" s="27" t="s">
        <v>44</v>
      </c>
      <c r="L12" s="27" t="s">
        <v>46</v>
      </c>
      <c r="M12" s="27" t="s">
        <v>48</v>
      </c>
      <c r="N12" s="27" t="s">
        <v>50</v>
      </c>
      <c r="O12" s="27" t="s">
        <v>52</v>
      </c>
      <c r="P12" s="27" t="s">
        <v>54</v>
      </c>
      <c r="Q12" s="27"/>
    </row>
    <row r="13" spans="1:17" ht="15.9" customHeight="1" x14ac:dyDescent="0.3">
      <c r="B13" s="3"/>
      <c r="C13" s="67" t="s">
        <v>22</v>
      </c>
      <c r="D13" s="26" t="s">
        <v>32</v>
      </c>
      <c r="E13" s="26" t="s">
        <v>34</v>
      </c>
      <c r="F13" s="26" t="s">
        <v>36</v>
      </c>
      <c r="G13" s="26" t="s">
        <v>38</v>
      </c>
      <c r="H13" s="26" t="s">
        <v>39</v>
      </c>
      <c r="I13" s="26" t="s">
        <v>41</v>
      </c>
      <c r="J13" s="26" t="s">
        <v>43</v>
      </c>
      <c r="K13" s="26" t="s">
        <v>45</v>
      </c>
      <c r="L13" s="26" t="s">
        <v>47</v>
      </c>
      <c r="M13" s="26" t="s">
        <v>49</v>
      </c>
      <c r="N13" s="26" t="s">
        <v>51</v>
      </c>
      <c r="O13" s="26" t="s">
        <v>53</v>
      </c>
      <c r="P13" s="26" t="s">
        <v>55</v>
      </c>
      <c r="Q13" s="26" t="s">
        <v>56</v>
      </c>
    </row>
    <row r="14" spans="1:17" ht="15.9" customHeight="1" x14ac:dyDescent="0.3">
      <c r="B14" s="3"/>
      <c r="C14" s="64" t="s">
        <v>91</v>
      </c>
      <c r="D14" s="34"/>
      <c r="E14" s="34"/>
      <c r="F14" s="34"/>
      <c r="G14" s="34"/>
      <c r="H14" s="34"/>
      <c r="I14" s="34"/>
      <c r="J14" s="34"/>
      <c r="K14" s="34"/>
      <c r="L14" s="34"/>
      <c r="M14" s="34"/>
      <c r="N14" s="34"/>
      <c r="O14" s="34"/>
      <c r="P14" s="35">
        <f>SUM(Hogar[[#This Row],[Enero]:[Diciembre]])</f>
        <v>0</v>
      </c>
      <c r="Q14" s="26"/>
    </row>
    <row r="15" spans="1:17" ht="15.9" customHeight="1" x14ac:dyDescent="0.3">
      <c r="B15" s="3"/>
      <c r="C15" s="64" t="s">
        <v>101</v>
      </c>
      <c r="D15" s="34"/>
      <c r="E15" s="34"/>
      <c r="F15" s="34"/>
      <c r="G15" s="34"/>
      <c r="H15" s="34"/>
      <c r="I15" s="34"/>
      <c r="J15" s="34"/>
      <c r="K15" s="34"/>
      <c r="L15" s="34"/>
      <c r="M15" s="34"/>
      <c r="N15" s="34"/>
      <c r="O15" s="34"/>
      <c r="P15" s="35">
        <f>SUM(Hogar[[#This Row],[Enero]:[Diciembre]])</f>
        <v>0</v>
      </c>
      <c r="Q15" s="26"/>
    </row>
    <row r="16" spans="1:17" ht="15.9" customHeight="1" x14ac:dyDescent="0.3">
      <c r="B16" s="3"/>
      <c r="C16" s="64" t="s">
        <v>102</v>
      </c>
      <c r="D16" s="34"/>
      <c r="E16" s="34"/>
      <c r="F16" s="34"/>
      <c r="G16" s="34"/>
      <c r="H16" s="34"/>
      <c r="I16" s="34"/>
      <c r="J16" s="34"/>
      <c r="K16" s="34"/>
      <c r="L16" s="34"/>
      <c r="M16" s="34"/>
      <c r="N16" s="34"/>
      <c r="O16" s="34"/>
      <c r="P16" s="35">
        <f>SUM(Hogar[[#This Row],[Enero]:[Diciembre]])</f>
        <v>0</v>
      </c>
      <c r="Q16" s="26"/>
    </row>
    <row r="17" spans="1:17" ht="15.9" customHeight="1" x14ac:dyDescent="0.3">
      <c r="B17" s="3"/>
      <c r="C17" s="64" t="s">
        <v>103</v>
      </c>
      <c r="D17" s="34"/>
      <c r="E17" s="34"/>
      <c r="F17" s="34"/>
      <c r="G17" s="34"/>
      <c r="H17" s="34"/>
      <c r="I17" s="34"/>
      <c r="J17" s="34"/>
      <c r="K17" s="34"/>
      <c r="L17" s="34"/>
      <c r="M17" s="34"/>
      <c r="N17" s="34"/>
      <c r="O17" s="34"/>
      <c r="P17" s="35">
        <f>SUM(Hogar[[#This Row],[Enero]:[Diciembre]])</f>
        <v>0</v>
      </c>
      <c r="Q17" s="26"/>
    </row>
    <row r="18" spans="1:17" ht="15.9" customHeight="1" x14ac:dyDescent="0.3">
      <c r="B18" s="3"/>
      <c r="C18" s="64" t="s">
        <v>104</v>
      </c>
      <c r="D18" s="34"/>
      <c r="E18" s="34"/>
      <c r="F18" s="34"/>
      <c r="G18" s="34"/>
      <c r="H18" s="34"/>
      <c r="I18" s="34"/>
      <c r="J18" s="34"/>
      <c r="K18" s="34"/>
      <c r="L18" s="34"/>
      <c r="M18" s="34"/>
      <c r="N18" s="34"/>
      <c r="O18" s="34"/>
      <c r="P18" s="35">
        <f>SUM(Hogar[[#This Row],[Enero]:[Diciembre]])</f>
        <v>0</v>
      </c>
      <c r="Q18" s="26"/>
    </row>
    <row r="19" spans="1:17" ht="15.9" customHeight="1" x14ac:dyDescent="0.3">
      <c r="B19" s="3"/>
      <c r="C19" s="64" t="s">
        <v>105</v>
      </c>
      <c r="D19" s="34"/>
      <c r="E19" s="34"/>
      <c r="F19" s="34"/>
      <c r="G19" s="34"/>
      <c r="H19" s="34"/>
      <c r="I19" s="34"/>
      <c r="J19" s="34"/>
      <c r="K19" s="34"/>
      <c r="L19" s="34"/>
      <c r="M19" s="34"/>
      <c r="N19" s="34"/>
      <c r="O19" s="34"/>
      <c r="P19" s="35">
        <f>SUM(Hogar[[#This Row],[Enero]:[Diciembre]])</f>
        <v>0</v>
      </c>
      <c r="Q19" s="26"/>
    </row>
    <row r="20" spans="1:17" ht="15.9" customHeight="1" x14ac:dyDescent="0.3">
      <c r="B20" s="3"/>
      <c r="C20" s="64" t="s">
        <v>106</v>
      </c>
      <c r="D20" s="34"/>
      <c r="E20" s="34"/>
      <c r="F20" s="34"/>
      <c r="G20" s="34"/>
      <c r="H20" s="34"/>
      <c r="I20" s="34"/>
      <c r="J20" s="34"/>
      <c r="K20" s="34"/>
      <c r="L20" s="34"/>
      <c r="M20" s="34"/>
      <c r="N20" s="34"/>
      <c r="O20" s="34"/>
      <c r="P20" s="35">
        <f>SUM(Hogar[[#This Row],[Enero]:[Diciembre]])</f>
        <v>0</v>
      </c>
      <c r="Q20" s="26"/>
    </row>
    <row r="21" spans="1:17" ht="15.9" customHeight="1" x14ac:dyDescent="0.3">
      <c r="B21" s="3"/>
      <c r="C21" s="64" t="s">
        <v>107</v>
      </c>
      <c r="D21" s="34"/>
      <c r="E21" s="34"/>
      <c r="F21" s="34"/>
      <c r="G21" s="34"/>
      <c r="H21" s="34"/>
      <c r="I21" s="34"/>
      <c r="J21" s="34"/>
      <c r="K21" s="34"/>
      <c r="L21" s="34"/>
      <c r="M21" s="34"/>
      <c r="N21" s="34"/>
      <c r="O21" s="34"/>
      <c r="P21" s="35">
        <f>SUM(Hogar[[#This Row],[Enero]:[Diciembre]])</f>
        <v>0</v>
      </c>
      <c r="Q21" s="26"/>
    </row>
    <row r="22" spans="1:17" ht="15.9" customHeight="1" x14ac:dyDescent="0.3">
      <c r="B22" s="3"/>
      <c r="C22" s="64" t="s">
        <v>110</v>
      </c>
      <c r="D22" s="34"/>
      <c r="E22" s="34"/>
      <c r="F22" s="34"/>
      <c r="G22" s="34"/>
      <c r="H22" s="34"/>
      <c r="I22" s="34"/>
      <c r="J22" s="34"/>
      <c r="K22" s="34"/>
      <c r="L22" s="34"/>
      <c r="M22" s="34"/>
      <c r="N22" s="34"/>
      <c r="O22" s="34"/>
      <c r="P22" s="35">
        <f>SUM(Hogar[[#This Row],[Enero]:[Diciembre]])</f>
        <v>0</v>
      </c>
      <c r="Q22" s="26"/>
    </row>
    <row r="23" spans="1:17" ht="15.9" customHeight="1" x14ac:dyDescent="0.3">
      <c r="B23" s="3"/>
      <c r="C23" s="64"/>
      <c r="D23" s="34"/>
      <c r="E23" s="34"/>
      <c r="F23" s="34"/>
      <c r="G23" s="34"/>
      <c r="H23" s="34"/>
      <c r="I23" s="34"/>
      <c r="J23" s="34"/>
      <c r="K23" s="34"/>
      <c r="L23" s="34"/>
      <c r="M23" s="34"/>
      <c r="N23" s="34"/>
      <c r="O23" s="34"/>
      <c r="P23" s="35">
        <f>SUM(Hogar[[#This Row],[Enero]:[Diciembre]])</f>
        <v>0</v>
      </c>
      <c r="Q23" s="26"/>
    </row>
    <row r="24" spans="1:17" ht="15.9" customHeight="1" x14ac:dyDescent="0.3">
      <c r="B24" s="3"/>
      <c r="C24" s="64"/>
      <c r="D24" s="34"/>
      <c r="E24" s="34"/>
      <c r="F24" s="34"/>
      <c r="G24" s="34"/>
      <c r="H24" s="34"/>
      <c r="I24" s="34"/>
      <c r="J24" s="34"/>
      <c r="K24" s="34"/>
      <c r="L24" s="34"/>
      <c r="M24" s="34"/>
      <c r="N24" s="34"/>
      <c r="O24" s="34"/>
      <c r="P24" s="35">
        <f>SUM(Hogar[[#This Row],[Enero]:[Diciembre]])</f>
        <v>0</v>
      </c>
      <c r="Q24" s="26"/>
    </row>
    <row r="25" spans="1:17" ht="15.9" customHeight="1" x14ac:dyDescent="0.3">
      <c r="B25" s="3"/>
      <c r="C25" s="64"/>
      <c r="D25" s="34"/>
      <c r="E25" s="34"/>
      <c r="F25" s="34"/>
      <c r="G25" s="34"/>
      <c r="H25" s="34"/>
      <c r="I25" s="34"/>
      <c r="J25" s="34"/>
      <c r="K25" s="34"/>
      <c r="L25" s="34"/>
      <c r="M25" s="34"/>
      <c r="N25" s="34"/>
      <c r="O25" s="34"/>
      <c r="P25" s="35">
        <f>SUM(Hogar[[#This Row],[Enero]:[Diciembre]])</f>
        <v>0</v>
      </c>
      <c r="Q25" s="26"/>
    </row>
    <row r="26" spans="1:17" ht="15.9" customHeight="1" x14ac:dyDescent="0.3">
      <c r="B26" s="3"/>
      <c r="C26" s="64"/>
      <c r="D26" s="34"/>
      <c r="E26" s="34"/>
      <c r="F26" s="34"/>
      <c r="G26" s="34"/>
      <c r="H26" s="34"/>
      <c r="I26" s="34"/>
      <c r="J26" s="34"/>
      <c r="K26" s="34"/>
      <c r="L26" s="34"/>
      <c r="M26" s="34"/>
      <c r="N26" s="34"/>
      <c r="O26" s="34"/>
      <c r="P26" s="35">
        <f>SUM(Hogar[[#This Row],[Enero]:[Diciembre]])</f>
        <v>0</v>
      </c>
      <c r="Q26" s="26"/>
    </row>
    <row r="27" spans="1:17" ht="15.9" customHeight="1" x14ac:dyDescent="0.3">
      <c r="B27" s="3"/>
      <c r="C27" s="64"/>
      <c r="D27" s="34"/>
      <c r="E27" s="34"/>
      <c r="F27" s="34"/>
      <c r="G27" s="34"/>
      <c r="H27" s="34"/>
      <c r="I27" s="34"/>
      <c r="J27" s="34"/>
      <c r="K27" s="34"/>
      <c r="L27" s="34"/>
      <c r="M27" s="34"/>
      <c r="N27" s="34"/>
      <c r="O27" s="34"/>
      <c r="P27" s="35">
        <f>SUM(Hogar[[#This Row],[Enero]:[Diciembre]])</f>
        <v>0</v>
      </c>
      <c r="Q27" s="26"/>
    </row>
    <row r="28" spans="1:17" ht="15.9" customHeight="1" x14ac:dyDescent="0.3">
      <c r="B28" s="3"/>
      <c r="C28" s="64"/>
      <c r="D28" s="34"/>
      <c r="E28" s="34"/>
      <c r="F28" s="34"/>
      <c r="G28" s="34"/>
      <c r="H28" s="34"/>
      <c r="I28" s="34"/>
      <c r="J28" s="34"/>
      <c r="K28" s="34"/>
      <c r="L28" s="34"/>
      <c r="M28" s="34"/>
      <c r="N28" s="34"/>
      <c r="O28" s="34"/>
      <c r="P28" s="35">
        <f>SUM(Hogar[[#This Row],[Enero]:[Diciembre]])</f>
        <v>0</v>
      </c>
      <c r="Q28" s="26"/>
    </row>
    <row r="29" spans="1:17" ht="15.9" customHeight="1" x14ac:dyDescent="0.3">
      <c r="B29" s="3"/>
      <c r="C29" s="64"/>
      <c r="D29" s="34"/>
      <c r="E29" s="34"/>
      <c r="F29" s="34"/>
      <c r="G29" s="34"/>
      <c r="H29" s="34"/>
      <c r="I29" s="34"/>
      <c r="J29" s="34"/>
      <c r="K29" s="34"/>
      <c r="L29" s="34"/>
      <c r="M29" s="34"/>
      <c r="N29" s="34"/>
      <c r="O29" s="34"/>
      <c r="P29" s="35">
        <f>SUM(Hogar[[#This Row],[Enero]:[Diciembre]])</f>
        <v>0</v>
      </c>
      <c r="Q29" s="26"/>
    </row>
    <row r="30" spans="1:17" ht="15.9" customHeight="1" x14ac:dyDescent="0.3">
      <c r="B30" s="3"/>
      <c r="C30" s="64"/>
      <c r="D30" s="34"/>
      <c r="E30" s="34"/>
      <c r="F30" s="34"/>
      <c r="G30" s="34"/>
      <c r="H30" s="34"/>
      <c r="I30" s="34"/>
      <c r="J30" s="34"/>
      <c r="K30" s="34"/>
      <c r="L30" s="34"/>
      <c r="M30" s="34"/>
      <c r="N30" s="34"/>
      <c r="O30" s="34"/>
      <c r="P30" s="35">
        <f>SUM(Hogar[[#This Row],[Enero]:[Diciembre]])</f>
        <v>0</v>
      </c>
      <c r="Q30" s="26"/>
    </row>
    <row r="31" spans="1:17" ht="21" customHeight="1" x14ac:dyDescent="0.3">
      <c r="A31" s="12"/>
      <c r="B31" s="3"/>
      <c r="C31" s="64" t="s">
        <v>93</v>
      </c>
      <c r="D31" s="34"/>
      <c r="E31" s="34"/>
      <c r="F31" s="34"/>
      <c r="G31" s="34"/>
      <c r="H31" s="34"/>
      <c r="I31" s="34"/>
      <c r="J31" s="34"/>
      <c r="K31" s="34"/>
      <c r="L31" s="34"/>
      <c r="M31" s="34"/>
      <c r="N31" s="34"/>
      <c r="O31" s="34"/>
      <c r="P31" s="35">
        <f>SUM(Hogar[[#This Row],[Enero]:[Diciembre]])</f>
        <v>0</v>
      </c>
      <c r="Q31" s="26"/>
    </row>
    <row r="32" spans="1:17" ht="24" customHeight="1" thickBot="1" x14ac:dyDescent="0.35">
      <c r="B32" s="3"/>
      <c r="C32" s="68" t="s">
        <v>20</v>
      </c>
      <c r="D32" s="36">
        <f>SUBTOTAL(109,Hogar[Enero])</f>
        <v>0</v>
      </c>
      <c r="E32" s="36">
        <f>SUBTOTAL(109,Hogar[Febrero])</f>
        <v>0</v>
      </c>
      <c r="F32" s="36">
        <f>SUBTOTAL(109,Hogar[Marzo])</f>
        <v>0</v>
      </c>
      <c r="G32" s="36">
        <f>SUBTOTAL(109,Hogar[Abril])</f>
        <v>0</v>
      </c>
      <c r="H32" s="36">
        <f>SUBTOTAL(109,Hogar[Mayo])</f>
        <v>0</v>
      </c>
      <c r="I32" s="36">
        <f>SUBTOTAL(109,Hogar[Junio])</f>
        <v>0</v>
      </c>
      <c r="J32" s="36">
        <f>SUBTOTAL(109,Hogar[Julio])</f>
        <v>0</v>
      </c>
      <c r="K32" s="36">
        <f>SUBTOTAL(109,Hogar[Agosto])</f>
        <v>0</v>
      </c>
      <c r="L32" s="36">
        <f>SUBTOTAL(109,Hogar[Septiembre])</f>
        <v>0</v>
      </c>
      <c r="M32" s="36">
        <f>SUBTOTAL(109,Hogar[Octubre])</f>
        <v>0</v>
      </c>
      <c r="N32" s="36">
        <f>SUBTOTAL(109,Hogar[Noviembre])</f>
        <v>0</v>
      </c>
      <c r="O32" s="36">
        <f>SUBTOTAL(109,Hogar[Diciembre])</f>
        <v>0</v>
      </c>
      <c r="P32" s="36">
        <f>SUBTOTAL(109,Hogar[Año])</f>
        <v>0</v>
      </c>
      <c r="Q32" s="37"/>
    </row>
    <row r="33" spans="1:17" ht="15.9" customHeight="1" thickTop="1" x14ac:dyDescent="0.3">
      <c r="A33" s="10" t="s">
        <v>6</v>
      </c>
      <c r="B33" s="19"/>
      <c r="C33" s="38"/>
      <c r="D33" s="33"/>
      <c r="E33" s="33"/>
      <c r="F33" s="33"/>
      <c r="G33" s="33"/>
      <c r="H33" s="33"/>
      <c r="I33" s="33"/>
      <c r="J33" s="33"/>
      <c r="K33" s="33"/>
      <c r="L33" s="33"/>
      <c r="M33" s="33"/>
      <c r="N33" s="33"/>
      <c r="O33" s="33"/>
      <c r="P33" s="33"/>
      <c r="Q33" s="33"/>
    </row>
    <row r="34" spans="1:17" ht="15.9" customHeight="1" x14ac:dyDescent="0.3">
      <c r="B34" s="6"/>
      <c r="C34" s="69" t="s">
        <v>74</v>
      </c>
      <c r="D34" s="20" t="s">
        <v>31</v>
      </c>
      <c r="E34" s="21" t="s">
        <v>33</v>
      </c>
      <c r="F34" s="20" t="s">
        <v>35</v>
      </c>
      <c r="G34" s="21" t="s">
        <v>37</v>
      </c>
      <c r="H34" s="20" t="s">
        <v>59</v>
      </c>
      <c r="I34" s="21" t="s">
        <v>40</v>
      </c>
      <c r="J34" s="20" t="s">
        <v>42</v>
      </c>
      <c r="K34" s="21" t="s">
        <v>44</v>
      </c>
      <c r="L34" s="20" t="s">
        <v>46</v>
      </c>
      <c r="M34" s="21" t="s">
        <v>48</v>
      </c>
      <c r="N34" s="20" t="s">
        <v>50</v>
      </c>
      <c r="O34" s="21" t="s">
        <v>52</v>
      </c>
      <c r="P34" s="20" t="s">
        <v>54</v>
      </c>
      <c r="Q34" s="26" t="s">
        <v>56</v>
      </c>
    </row>
    <row r="35" spans="1:17" ht="15.9" customHeight="1" x14ac:dyDescent="0.3">
      <c r="B35" s="6"/>
      <c r="C35" s="70" t="s">
        <v>75</v>
      </c>
      <c r="D35" s="22"/>
      <c r="E35" s="23"/>
      <c r="F35" s="22"/>
      <c r="G35" s="23"/>
      <c r="H35" s="22"/>
      <c r="I35" s="23"/>
      <c r="J35" s="22"/>
      <c r="K35" s="23"/>
      <c r="L35" s="22"/>
      <c r="M35" s="23"/>
      <c r="N35" s="22"/>
      <c r="O35" s="23"/>
      <c r="P35" s="39">
        <f>SUM(Diario[[#This Row],[ENE]:[DIC]])</f>
        <v>0</v>
      </c>
      <c r="Q35" s="30"/>
    </row>
    <row r="36" spans="1:17" ht="15.9" customHeight="1" x14ac:dyDescent="0.3">
      <c r="B36" s="6"/>
      <c r="C36" s="70" t="s">
        <v>76</v>
      </c>
      <c r="D36" s="22"/>
      <c r="E36" s="23"/>
      <c r="F36" s="22"/>
      <c r="G36" s="23"/>
      <c r="H36" s="22"/>
      <c r="I36" s="23"/>
      <c r="J36" s="22"/>
      <c r="K36" s="23"/>
      <c r="L36" s="22"/>
      <c r="M36" s="23"/>
      <c r="N36" s="22"/>
      <c r="O36" s="23"/>
      <c r="P36" s="39">
        <f>SUM(Diario[[#This Row],[ENE]:[DIC]])</f>
        <v>0</v>
      </c>
      <c r="Q36" s="30"/>
    </row>
    <row r="37" spans="1:17" ht="15.9" customHeight="1" x14ac:dyDescent="0.3">
      <c r="B37" s="6"/>
      <c r="C37" s="70" t="s">
        <v>77</v>
      </c>
      <c r="D37" s="22"/>
      <c r="E37" s="23"/>
      <c r="F37" s="22"/>
      <c r="G37" s="23"/>
      <c r="H37" s="22"/>
      <c r="I37" s="23"/>
      <c r="J37" s="22"/>
      <c r="K37" s="23"/>
      <c r="L37" s="22"/>
      <c r="M37" s="23"/>
      <c r="N37" s="22"/>
      <c r="O37" s="23"/>
      <c r="P37" s="39">
        <f>SUM(Diario[[#This Row],[ENE]:[DIC]])</f>
        <v>0</v>
      </c>
      <c r="Q37" s="30"/>
    </row>
    <row r="38" spans="1:17" ht="15.9" customHeight="1" x14ac:dyDescent="0.3">
      <c r="B38" s="6"/>
      <c r="C38" s="70" t="s">
        <v>78</v>
      </c>
      <c r="D38" s="22"/>
      <c r="E38" s="23"/>
      <c r="F38" s="22"/>
      <c r="G38" s="23"/>
      <c r="H38" s="22"/>
      <c r="I38" s="23"/>
      <c r="J38" s="22"/>
      <c r="K38" s="23"/>
      <c r="L38" s="22"/>
      <c r="M38" s="23"/>
      <c r="N38" s="22"/>
      <c r="O38" s="23"/>
      <c r="P38" s="39">
        <f>SUM(Diario[[#This Row],[ENE]:[DIC]])</f>
        <v>0</v>
      </c>
      <c r="Q38" s="30"/>
    </row>
    <row r="39" spans="1:17" ht="15.9" customHeight="1" x14ac:dyDescent="0.3">
      <c r="A39" s="12"/>
      <c r="B39" s="6"/>
      <c r="C39" s="70" t="s">
        <v>79</v>
      </c>
      <c r="D39" s="22"/>
      <c r="E39" s="23"/>
      <c r="F39" s="22"/>
      <c r="G39" s="23"/>
      <c r="H39" s="22"/>
      <c r="I39" s="23"/>
      <c r="J39" s="22"/>
      <c r="K39" s="23"/>
      <c r="L39" s="22"/>
      <c r="M39" s="23"/>
      <c r="N39" s="22"/>
      <c r="O39" s="23"/>
      <c r="P39" s="39">
        <f>SUM(Diario[[#This Row],[ENE]:[DIC]])</f>
        <v>0</v>
      </c>
      <c r="Q39" s="30"/>
    </row>
    <row r="40" spans="1:17" ht="21" customHeight="1" x14ac:dyDescent="0.3">
      <c r="B40" s="6"/>
      <c r="C40" s="70" t="s">
        <v>90</v>
      </c>
      <c r="D40" s="22"/>
      <c r="E40" s="23"/>
      <c r="F40" s="22"/>
      <c r="G40" s="23"/>
      <c r="H40" s="22"/>
      <c r="I40" s="23"/>
      <c r="J40" s="22"/>
      <c r="K40" s="23"/>
      <c r="L40" s="22"/>
      <c r="M40" s="23"/>
      <c r="N40" s="22"/>
      <c r="O40" s="23"/>
      <c r="P40" s="39">
        <f>SUM(Diario[[#This Row],[ENE]:[DIC]])</f>
        <v>0</v>
      </c>
      <c r="Q40" s="30"/>
    </row>
    <row r="41" spans="1:17" ht="20.149999999999999" customHeight="1" x14ac:dyDescent="0.3">
      <c r="B41" s="6"/>
      <c r="C41" s="70" t="s">
        <v>110</v>
      </c>
      <c r="D41" s="22"/>
      <c r="E41" s="23"/>
      <c r="F41" s="22"/>
      <c r="G41" s="23"/>
      <c r="H41" s="22"/>
      <c r="I41" s="23"/>
      <c r="J41" s="22"/>
      <c r="K41" s="23"/>
      <c r="L41" s="22"/>
      <c r="M41" s="23"/>
      <c r="N41" s="22"/>
      <c r="O41" s="23"/>
      <c r="P41" s="39">
        <f>SUM(Diario[[#This Row],[ENE]:[DIC]])</f>
        <v>0</v>
      </c>
      <c r="Q41" s="30"/>
    </row>
    <row r="42" spans="1:17" ht="15.9" customHeight="1" x14ac:dyDescent="0.3">
      <c r="A42" s="11" t="s">
        <v>7</v>
      </c>
      <c r="B42" s="6"/>
      <c r="C42" s="71" t="s">
        <v>20</v>
      </c>
      <c r="D42" s="40">
        <f>SUBTOTAL(109,Diario[ENE])</f>
        <v>0</v>
      </c>
      <c r="E42" s="41">
        <f>SUBTOTAL(109,Diario[FEB])</f>
        <v>0</v>
      </c>
      <c r="F42" s="40">
        <f>SUBTOTAL(109,Diario[MAR])</f>
        <v>0</v>
      </c>
      <c r="G42" s="41">
        <f>SUBTOTAL(109,Diario[ABR])</f>
        <v>0</v>
      </c>
      <c r="H42" s="40">
        <f>SUBTOTAL(109,Diario[MAY])</f>
        <v>0</v>
      </c>
      <c r="I42" s="41">
        <f>SUBTOTAL(109,Diario[JUN])</f>
        <v>0</v>
      </c>
      <c r="J42" s="40">
        <f>SUBTOTAL(109,Diario[JUL])</f>
        <v>0</v>
      </c>
      <c r="K42" s="41">
        <f>SUBTOTAL(109,Diario[AGO])</f>
        <v>0</v>
      </c>
      <c r="L42" s="40">
        <f>SUBTOTAL(109,Diario[SEP])</f>
        <v>0</v>
      </c>
      <c r="M42" s="41">
        <f>SUBTOTAL(109,Diario[OCT])</f>
        <v>0</v>
      </c>
      <c r="N42" s="40">
        <f>SUBTOTAL(109,Diario[NOV])</f>
        <v>0</v>
      </c>
      <c r="O42" s="41">
        <f>SUBTOTAL(109,Diario[DIC])</f>
        <v>0</v>
      </c>
      <c r="P42" s="40">
        <f>SUBTOTAL(109,Diario[AÑO])</f>
        <v>0</v>
      </c>
      <c r="Q42" s="42"/>
    </row>
    <row r="43" spans="1:17" ht="15.9" customHeight="1" x14ac:dyDescent="0.3">
      <c r="B43" s="19"/>
      <c r="C43" s="43"/>
      <c r="D43" s="43"/>
      <c r="E43" s="43"/>
      <c r="F43" s="43"/>
      <c r="G43" s="43"/>
      <c r="H43" s="43"/>
      <c r="I43" s="43"/>
      <c r="J43" s="43"/>
      <c r="K43" s="43"/>
      <c r="L43" s="43"/>
      <c r="M43" s="43"/>
      <c r="N43" s="43"/>
      <c r="O43" s="43"/>
      <c r="P43" s="43"/>
      <c r="Q43" s="43"/>
    </row>
    <row r="44" spans="1:17" ht="15.9" customHeight="1" x14ac:dyDescent="0.3">
      <c r="B44" s="6"/>
      <c r="C44" s="69" t="s">
        <v>67</v>
      </c>
      <c r="D44" s="20" t="s">
        <v>31</v>
      </c>
      <c r="E44" s="21" t="s">
        <v>33</v>
      </c>
      <c r="F44" s="20" t="s">
        <v>35</v>
      </c>
      <c r="G44" s="21" t="s">
        <v>37</v>
      </c>
      <c r="H44" s="20" t="s">
        <v>59</v>
      </c>
      <c r="I44" s="21" t="s">
        <v>40</v>
      </c>
      <c r="J44" s="20" t="s">
        <v>42</v>
      </c>
      <c r="K44" s="21" t="s">
        <v>44</v>
      </c>
      <c r="L44" s="20" t="s">
        <v>46</v>
      </c>
      <c r="M44" s="21" t="s">
        <v>48</v>
      </c>
      <c r="N44" s="20" t="s">
        <v>50</v>
      </c>
      <c r="O44" s="21" t="s">
        <v>52</v>
      </c>
      <c r="P44" s="20" t="s">
        <v>54</v>
      </c>
      <c r="Q44" s="26" t="s">
        <v>56</v>
      </c>
    </row>
    <row r="45" spans="1:17" ht="15.9" customHeight="1" x14ac:dyDescent="0.3">
      <c r="B45" s="6"/>
      <c r="C45" s="70" t="s">
        <v>68</v>
      </c>
      <c r="D45" s="22"/>
      <c r="E45" s="23"/>
      <c r="F45" s="22"/>
      <c r="G45" s="23"/>
      <c r="H45" s="22"/>
      <c r="I45" s="23"/>
      <c r="J45" s="22"/>
      <c r="K45" s="23"/>
      <c r="L45" s="22"/>
      <c r="M45" s="23"/>
      <c r="N45" s="22"/>
      <c r="O45" s="23"/>
      <c r="P45" s="39">
        <f>SUM(Transporte[[#This Row],[ENE]:[DIC]])</f>
        <v>0</v>
      </c>
      <c r="Q45" s="30"/>
    </row>
    <row r="46" spans="1:17" ht="15.9" customHeight="1" x14ac:dyDescent="0.3">
      <c r="B46" s="6"/>
      <c r="C46" s="70" t="s">
        <v>69</v>
      </c>
      <c r="D46" s="22"/>
      <c r="E46" s="23"/>
      <c r="F46" s="22"/>
      <c r="G46" s="23"/>
      <c r="H46" s="22"/>
      <c r="I46" s="23"/>
      <c r="J46" s="22"/>
      <c r="K46" s="23"/>
      <c r="L46" s="22"/>
      <c r="M46" s="23"/>
      <c r="N46" s="22"/>
      <c r="O46" s="23"/>
      <c r="P46" s="39">
        <f>SUM(Transporte[[#This Row],[ENE]:[DIC]])</f>
        <v>0</v>
      </c>
      <c r="Q46" s="30"/>
    </row>
    <row r="47" spans="1:17" ht="21" customHeight="1" x14ac:dyDescent="0.3">
      <c r="B47" s="6"/>
      <c r="C47" s="70" t="s">
        <v>70</v>
      </c>
      <c r="D47" s="22"/>
      <c r="E47" s="23"/>
      <c r="F47" s="22"/>
      <c r="G47" s="23"/>
      <c r="H47" s="22"/>
      <c r="I47" s="23"/>
      <c r="J47" s="22"/>
      <c r="K47" s="23"/>
      <c r="L47" s="22"/>
      <c r="M47" s="23"/>
      <c r="N47" s="22"/>
      <c r="O47" s="23"/>
      <c r="P47" s="39">
        <f>SUM(Transporte[[#This Row],[ENE]:[DIC]])</f>
        <v>0</v>
      </c>
      <c r="Q47" s="30"/>
    </row>
    <row r="48" spans="1:17" ht="20.149999999999999" customHeight="1" x14ac:dyDescent="0.3">
      <c r="B48" s="6"/>
      <c r="C48" s="70" t="s">
        <v>71</v>
      </c>
      <c r="D48" s="22"/>
      <c r="E48" s="23"/>
      <c r="F48" s="22"/>
      <c r="G48" s="23"/>
      <c r="H48" s="22"/>
      <c r="I48" s="23"/>
      <c r="J48" s="22"/>
      <c r="K48" s="23"/>
      <c r="L48" s="22"/>
      <c r="M48" s="23"/>
      <c r="N48" s="22"/>
      <c r="O48" s="23"/>
      <c r="P48" s="39">
        <f>SUM(Transporte[[#This Row],[ENE]:[DIC]])</f>
        <v>0</v>
      </c>
      <c r="Q48" s="30"/>
    </row>
    <row r="49" spans="1:17" ht="21" customHeight="1" x14ac:dyDescent="0.3">
      <c r="A49" s="10" t="s">
        <v>8</v>
      </c>
      <c r="B49" s="7"/>
      <c r="C49" s="64" t="s">
        <v>110</v>
      </c>
      <c r="D49" s="22"/>
      <c r="E49" s="23"/>
      <c r="F49" s="22"/>
      <c r="G49" s="23"/>
      <c r="H49" s="22"/>
      <c r="I49" s="23"/>
      <c r="J49" s="22"/>
      <c r="K49" s="23"/>
      <c r="L49" s="22"/>
      <c r="M49" s="23"/>
      <c r="N49" s="22"/>
      <c r="O49" s="23"/>
      <c r="P49" s="39">
        <f>SUM(Transporte[[#This Row],[ENE]:[DIC]])</f>
        <v>0</v>
      </c>
      <c r="Q49" s="30"/>
    </row>
    <row r="50" spans="1:17" ht="15.9" customHeight="1" x14ac:dyDescent="0.3">
      <c r="B50" s="7"/>
      <c r="C50" s="71" t="s">
        <v>20</v>
      </c>
      <c r="D50" s="40">
        <f>SUBTOTAL(109,Transporte[ENE])</f>
        <v>0</v>
      </c>
      <c r="E50" s="41">
        <f>SUBTOTAL(109,Transporte[FEB])</f>
        <v>0</v>
      </c>
      <c r="F50" s="40">
        <f>SUBTOTAL(109,Transporte[MAR])</f>
        <v>0</v>
      </c>
      <c r="G50" s="41">
        <f>SUBTOTAL(109,Transporte[ABR])</f>
        <v>0</v>
      </c>
      <c r="H50" s="40">
        <f>SUBTOTAL(109,Transporte[MAY])</f>
        <v>0</v>
      </c>
      <c r="I50" s="41">
        <f>SUBTOTAL(109,Transporte[JUN])</f>
        <v>0</v>
      </c>
      <c r="J50" s="40">
        <f>SUBTOTAL(109,Transporte[JUL])</f>
        <v>0</v>
      </c>
      <c r="K50" s="41">
        <f>SUBTOTAL(109,Transporte[AGO])</f>
        <v>0</v>
      </c>
      <c r="L50" s="40">
        <f>SUBTOTAL(109,Transporte[SEP])</f>
        <v>0</v>
      </c>
      <c r="M50" s="41">
        <f>SUBTOTAL(109,Transporte[OCT])</f>
        <v>0</v>
      </c>
      <c r="N50" s="40">
        <f>SUBTOTAL(109,Transporte[NOV])</f>
        <v>0</v>
      </c>
      <c r="O50" s="41">
        <f>SUBTOTAL(109,Transporte[DIC])</f>
        <v>0</v>
      </c>
      <c r="P50" s="40">
        <f>SUBTOTAL(109,Transporte[AÑO])</f>
        <v>0</v>
      </c>
      <c r="Q50" s="42"/>
    </row>
    <row r="51" spans="1:17" ht="15.9" customHeight="1" x14ac:dyDescent="0.3">
      <c r="A51" s="12"/>
      <c r="B51" s="19"/>
      <c r="C51" s="43"/>
      <c r="D51" s="43"/>
      <c r="E51" s="43"/>
      <c r="F51" s="43"/>
      <c r="G51" s="43"/>
      <c r="H51" s="43"/>
      <c r="I51" s="43"/>
      <c r="J51" s="43"/>
      <c r="K51" s="43"/>
      <c r="L51" s="43"/>
      <c r="M51" s="43"/>
      <c r="N51" s="43"/>
      <c r="O51" s="43"/>
      <c r="P51" s="43"/>
      <c r="Q51" s="43"/>
    </row>
    <row r="52" spans="1:17" ht="15.9" customHeight="1" x14ac:dyDescent="0.3">
      <c r="B52" s="7"/>
      <c r="C52" s="72" t="s">
        <v>23</v>
      </c>
      <c r="D52" s="24" t="s">
        <v>31</v>
      </c>
      <c r="E52" s="21" t="s">
        <v>33</v>
      </c>
      <c r="F52" s="24" t="s">
        <v>35</v>
      </c>
      <c r="G52" s="21" t="s">
        <v>37</v>
      </c>
      <c r="H52" s="24" t="s">
        <v>59</v>
      </c>
      <c r="I52" s="21" t="s">
        <v>40</v>
      </c>
      <c r="J52" s="24" t="s">
        <v>42</v>
      </c>
      <c r="K52" s="21" t="s">
        <v>44</v>
      </c>
      <c r="L52" s="24" t="s">
        <v>46</v>
      </c>
      <c r="M52" s="21" t="s">
        <v>48</v>
      </c>
      <c r="N52" s="24" t="s">
        <v>50</v>
      </c>
      <c r="O52" s="21" t="s">
        <v>52</v>
      </c>
      <c r="P52" s="24" t="s">
        <v>54</v>
      </c>
      <c r="Q52" s="26" t="s">
        <v>56</v>
      </c>
    </row>
    <row r="53" spans="1:17" ht="15.9" customHeight="1" x14ac:dyDescent="0.3">
      <c r="B53" s="7"/>
      <c r="C53" s="70" t="s">
        <v>70</v>
      </c>
      <c r="D53" s="25"/>
      <c r="E53" s="23"/>
      <c r="F53" s="25"/>
      <c r="G53" s="23"/>
      <c r="H53" s="25"/>
      <c r="I53" s="23"/>
      <c r="J53" s="25"/>
      <c r="K53" s="23"/>
      <c r="L53" s="25"/>
      <c r="M53" s="23"/>
      <c r="N53" s="25"/>
      <c r="O53" s="23"/>
      <c r="P53" s="44">
        <f>SUM(Entretenimiento[[#This Row],[ENE]:[DIC]])</f>
        <v>0</v>
      </c>
      <c r="Q53" s="30"/>
    </row>
    <row r="54" spans="1:17" ht="21" customHeight="1" x14ac:dyDescent="0.3">
      <c r="B54" s="7"/>
      <c r="C54" s="70" t="s">
        <v>72</v>
      </c>
      <c r="D54" s="25"/>
      <c r="E54" s="23"/>
      <c r="F54" s="25"/>
      <c r="G54" s="23"/>
      <c r="H54" s="25"/>
      <c r="I54" s="23"/>
      <c r="J54" s="25"/>
      <c r="K54" s="23"/>
      <c r="L54" s="25"/>
      <c r="M54" s="23"/>
      <c r="N54" s="25"/>
      <c r="O54" s="23"/>
      <c r="P54" s="44">
        <f>SUM(Entretenimiento[[#This Row],[ENE]:[DIC]])</f>
        <v>0</v>
      </c>
      <c r="Q54" s="30"/>
    </row>
    <row r="55" spans="1:17" ht="20.149999999999999" customHeight="1" x14ac:dyDescent="0.3">
      <c r="B55" s="7"/>
      <c r="C55" s="70" t="s">
        <v>73</v>
      </c>
      <c r="D55" s="25"/>
      <c r="E55" s="23"/>
      <c r="F55" s="25"/>
      <c r="G55" s="23"/>
      <c r="H55" s="25"/>
      <c r="I55" s="23"/>
      <c r="J55" s="25"/>
      <c r="K55" s="23"/>
      <c r="L55" s="25"/>
      <c r="M55" s="23"/>
      <c r="N55" s="25"/>
      <c r="O55" s="23"/>
      <c r="P55" s="44">
        <f>SUM(Entretenimiento[[#This Row],[ENE]:[DIC]])</f>
        <v>0</v>
      </c>
      <c r="Q55" s="30"/>
    </row>
    <row r="56" spans="1:17" ht="21" customHeight="1" x14ac:dyDescent="0.3">
      <c r="A56" s="10" t="s">
        <v>9</v>
      </c>
      <c r="B56" s="7"/>
      <c r="C56" s="64" t="s">
        <v>110</v>
      </c>
      <c r="D56" s="25"/>
      <c r="E56" s="23"/>
      <c r="F56" s="25"/>
      <c r="G56" s="23"/>
      <c r="H56" s="25"/>
      <c r="I56" s="23"/>
      <c r="J56" s="25"/>
      <c r="K56" s="23"/>
      <c r="L56" s="25"/>
      <c r="M56" s="23"/>
      <c r="N56" s="25"/>
      <c r="O56" s="23"/>
      <c r="P56" s="44">
        <f>SUM(Entretenimiento[[#This Row],[ENE]:[DIC]])</f>
        <v>0</v>
      </c>
      <c r="Q56" s="30"/>
    </row>
    <row r="57" spans="1:17" ht="15.9" customHeight="1" x14ac:dyDescent="0.3">
      <c r="B57" s="7"/>
      <c r="C57" s="73" t="s">
        <v>20</v>
      </c>
      <c r="D57" s="45">
        <f>SUBTOTAL(109,Entretenimiento[ENE])</f>
        <v>0</v>
      </c>
      <c r="E57" s="46">
        <f>SUBTOTAL(109,Entretenimiento[FEB])</f>
        <v>0</v>
      </c>
      <c r="F57" s="45">
        <f>SUBTOTAL(109,Entretenimiento[MAR])</f>
        <v>0</v>
      </c>
      <c r="G57" s="46">
        <f>SUBTOTAL(109,Entretenimiento[ABR])</f>
        <v>0</v>
      </c>
      <c r="H57" s="45">
        <f>SUBTOTAL(109,Entretenimiento[MAY])</f>
        <v>0</v>
      </c>
      <c r="I57" s="46">
        <f>SUBTOTAL(109,Entretenimiento[JUN])</f>
        <v>0</v>
      </c>
      <c r="J57" s="45">
        <f>SUBTOTAL(109,Entretenimiento[JUL])</f>
        <v>0</v>
      </c>
      <c r="K57" s="46">
        <f>SUBTOTAL(109,Entretenimiento[AGO])</f>
        <v>0</v>
      </c>
      <c r="L57" s="45">
        <f>SUBTOTAL(109,Entretenimiento[SEP])</f>
        <v>0</v>
      </c>
      <c r="M57" s="46">
        <f>SUBTOTAL(109,Entretenimiento[OCT])</f>
        <v>0</v>
      </c>
      <c r="N57" s="45">
        <f>SUBTOTAL(109,Entretenimiento[NOV])</f>
        <v>0</v>
      </c>
      <c r="O57" s="46">
        <f>SUBTOTAL(109,Entretenimiento[DIC])</f>
        <v>0</v>
      </c>
      <c r="P57" s="45">
        <f>SUBTOTAL(109,Entretenimiento[AÑO])</f>
        <v>0</v>
      </c>
      <c r="Q57" s="42"/>
    </row>
    <row r="58" spans="1:17" ht="15.9" customHeight="1" x14ac:dyDescent="0.3">
      <c r="B58" s="19"/>
      <c r="C58" s="43"/>
      <c r="D58" s="43"/>
      <c r="E58" s="43"/>
      <c r="F58" s="43"/>
      <c r="G58" s="43"/>
      <c r="H58" s="43"/>
      <c r="I58" s="43"/>
      <c r="J58" s="43"/>
      <c r="K58" s="43"/>
      <c r="L58" s="43"/>
      <c r="M58" s="43"/>
      <c r="N58" s="43"/>
      <c r="O58" s="43"/>
      <c r="P58" s="43"/>
      <c r="Q58" s="43"/>
    </row>
    <row r="59" spans="1:17" ht="15.9" customHeight="1" x14ac:dyDescent="0.3">
      <c r="B59" s="7"/>
      <c r="C59" s="72" t="s">
        <v>80</v>
      </c>
      <c r="D59" s="24" t="s">
        <v>31</v>
      </c>
      <c r="E59" s="21" t="s">
        <v>33</v>
      </c>
      <c r="F59" s="24" t="s">
        <v>35</v>
      </c>
      <c r="G59" s="21" t="s">
        <v>37</v>
      </c>
      <c r="H59" s="24" t="s">
        <v>59</v>
      </c>
      <c r="I59" s="21" t="s">
        <v>40</v>
      </c>
      <c r="J59" s="24" t="s">
        <v>42</v>
      </c>
      <c r="K59" s="21" t="s">
        <v>44</v>
      </c>
      <c r="L59" s="24" t="s">
        <v>46</v>
      </c>
      <c r="M59" s="21" t="s">
        <v>48</v>
      </c>
      <c r="N59" s="24" t="s">
        <v>50</v>
      </c>
      <c r="O59" s="21" t="s">
        <v>52</v>
      </c>
      <c r="P59" s="24" t="s">
        <v>54</v>
      </c>
      <c r="Q59" s="26" t="s">
        <v>56</v>
      </c>
    </row>
    <row r="60" spans="1:17" ht="15.9" customHeight="1" x14ac:dyDescent="0.3">
      <c r="A60" s="12"/>
      <c r="B60" s="7"/>
      <c r="C60" s="70" t="s">
        <v>81</v>
      </c>
      <c r="D60" s="25"/>
      <c r="E60" s="23"/>
      <c r="F60" s="25"/>
      <c r="G60" s="23"/>
      <c r="H60" s="25"/>
      <c r="I60" s="23"/>
      <c r="J60" s="25"/>
      <c r="K60" s="23"/>
      <c r="L60" s="25"/>
      <c r="M60" s="23"/>
      <c r="N60" s="25"/>
      <c r="O60" s="23"/>
      <c r="P60" s="44">
        <f>SUM(Salud[[#This Row],[ENE]:[DIC]])</f>
        <v>0</v>
      </c>
      <c r="Q60" s="30"/>
    </row>
    <row r="61" spans="1:17" ht="15.9" customHeight="1" x14ac:dyDescent="0.3">
      <c r="B61" s="7"/>
      <c r="C61" s="70" t="s">
        <v>82</v>
      </c>
      <c r="D61" s="25"/>
      <c r="E61" s="23"/>
      <c r="F61" s="25"/>
      <c r="G61" s="23"/>
      <c r="H61" s="25"/>
      <c r="I61" s="23"/>
      <c r="J61" s="25"/>
      <c r="K61" s="23"/>
      <c r="L61" s="25"/>
      <c r="M61" s="23"/>
      <c r="N61" s="25"/>
      <c r="O61" s="23"/>
      <c r="P61" s="44">
        <f>SUM(Salud[[#This Row],[ENE]:[DIC]])</f>
        <v>0</v>
      </c>
      <c r="Q61" s="30"/>
    </row>
    <row r="62" spans="1:17" ht="15.9" customHeight="1" x14ac:dyDescent="0.3">
      <c r="B62" s="7"/>
      <c r="C62" s="70" t="s">
        <v>83</v>
      </c>
      <c r="D62" s="25"/>
      <c r="E62" s="23"/>
      <c r="F62" s="25"/>
      <c r="G62" s="23"/>
      <c r="H62" s="25"/>
      <c r="I62" s="23"/>
      <c r="J62" s="25"/>
      <c r="K62" s="23"/>
      <c r="L62" s="25"/>
      <c r="M62" s="23"/>
      <c r="N62" s="25"/>
      <c r="O62" s="23"/>
      <c r="P62" s="44">
        <f>SUM(Salud[[#This Row],[ENE]:[DIC]])</f>
        <v>0</v>
      </c>
      <c r="Q62" s="30"/>
    </row>
    <row r="63" spans="1:17" ht="15.9" customHeight="1" x14ac:dyDescent="0.3">
      <c r="B63" s="7"/>
      <c r="C63" s="74" t="s">
        <v>84</v>
      </c>
      <c r="D63" s="25"/>
      <c r="E63" s="23"/>
      <c r="F63" s="25"/>
      <c r="G63" s="23"/>
      <c r="H63" s="25"/>
      <c r="I63" s="23"/>
      <c r="J63" s="25"/>
      <c r="K63" s="23"/>
      <c r="L63" s="25"/>
      <c r="M63" s="23"/>
      <c r="N63" s="25"/>
      <c r="O63" s="23"/>
      <c r="P63" s="44">
        <f>SUM(Salud[[#This Row],[ENE]:[DIC]])</f>
        <v>0</v>
      </c>
      <c r="Q63" s="30"/>
    </row>
    <row r="64" spans="1:17" ht="21" customHeight="1" x14ac:dyDescent="0.3">
      <c r="B64" s="7"/>
      <c r="C64" s="74" t="s">
        <v>85</v>
      </c>
      <c r="D64" s="25"/>
      <c r="E64" s="23"/>
      <c r="F64" s="25"/>
      <c r="G64" s="23"/>
      <c r="H64" s="25"/>
      <c r="I64" s="23"/>
      <c r="J64" s="25"/>
      <c r="K64" s="23"/>
      <c r="L64" s="25"/>
      <c r="M64" s="23"/>
      <c r="N64" s="25"/>
      <c r="O64" s="23"/>
      <c r="P64" s="44">
        <f>SUM(Salud[[#This Row],[ENE]:[DIC]])</f>
        <v>0</v>
      </c>
      <c r="Q64" s="30"/>
    </row>
    <row r="65" spans="1:17" ht="20.149999999999999" customHeight="1" x14ac:dyDescent="0.3">
      <c r="B65" s="7"/>
      <c r="C65" s="70" t="s">
        <v>86</v>
      </c>
      <c r="D65" s="25"/>
      <c r="E65" s="23"/>
      <c r="F65" s="25"/>
      <c r="G65" s="23"/>
      <c r="H65" s="25"/>
      <c r="I65" s="23"/>
      <c r="J65" s="25"/>
      <c r="K65" s="23"/>
      <c r="L65" s="25"/>
      <c r="M65" s="23"/>
      <c r="N65" s="25"/>
      <c r="O65" s="23"/>
      <c r="P65" s="44">
        <f>SUM(Salud[[#This Row],[ENE]:[DIC]])</f>
        <v>0</v>
      </c>
      <c r="Q65" s="30"/>
    </row>
    <row r="66" spans="1:17" ht="21" customHeight="1" x14ac:dyDescent="0.3">
      <c r="A66" s="10" t="s">
        <v>10</v>
      </c>
      <c r="B66" s="6"/>
      <c r="C66" s="70" t="s">
        <v>87</v>
      </c>
      <c r="D66" s="25"/>
      <c r="E66" s="23"/>
      <c r="F66" s="25"/>
      <c r="G66" s="23"/>
      <c r="H66" s="25"/>
      <c r="I66" s="23"/>
      <c r="J66" s="25"/>
      <c r="K66" s="23"/>
      <c r="L66" s="25"/>
      <c r="M66" s="23"/>
      <c r="N66" s="25"/>
      <c r="O66" s="23"/>
      <c r="P66" s="44">
        <f>SUM(Salud[[#This Row],[ENE]:[DIC]])</f>
        <v>0</v>
      </c>
      <c r="Q66" s="30"/>
    </row>
    <row r="67" spans="1:17" ht="15.9" customHeight="1" x14ac:dyDescent="0.3">
      <c r="B67" s="6"/>
      <c r="C67" s="64" t="s">
        <v>110</v>
      </c>
      <c r="D67" s="25"/>
      <c r="E67" s="23"/>
      <c r="F67" s="25"/>
      <c r="G67" s="23"/>
      <c r="H67" s="25"/>
      <c r="I67" s="23"/>
      <c r="J67" s="25"/>
      <c r="K67" s="23"/>
      <c r="L67" s="25"/>
      <c r="M67" s="23"/>
      <c r="N67" s="25"/>
      <c r="O67" s="23"/>
      <c r="P67" s="44">
        <f>SUM(Salud[[#This Row],[ENE]:[DIC]])</f>
        <v>0</v>
      </c>
      <c r="Q67" s="30"/>
    </row>
    <row r="68" spans="1:17" ht="21" customHeight="1" thickBot="1" x14ac:dyDescent="0.35">
      <c r="B68" s="6"/>
      <c r="C68" s="75" t="s">
        <v>20</v>
      </c>
      <c r="D68" s="47">
        <f>SUBTOTAL(109,Salud[ENE])</f>
        <v>0</v>
      </c>
      <c r="E68" s="48">
        <f>SUBTOTAL(109,Salud[FEB])</f>
        <v>0</v>
      </c>
      <c r="F68" s="47">
        <f>SUBTOTAL(109,Salud[MAR])</f>
        <v>0</v>
      </c>
      <c r="G68" s="48">
        <f>SUBTOTAL(109,Salud[ABR])</f>
        <v>0</v>
      </c>
      <c r="H68" s="47">
        <f>SUBTOTAL(109,Salud[MAY])</f>
        <v>0</v>
      </c>
      <c r="I68" s="48">
        <f>SUBTOTAL(109,Salud[JUN])</f>
        <v>0</v>
      </c>
      <c r="J68" s="47">
        <f>SUBTOTAL(109,Salud[JUL])</f>
        <v>0</v>
      </c>
      <c r="K68" s="48">
        <f>SUBTOTAL(109,Salud[AGO])</f>
        <v>0</v>
      </c>
      <c r="L68" s="47">
        <f>SUBTOTAL(109,Salud[SEP])</f>
        <v>0</v>
      </c>
      <c r="M68" s="48">
        <f>SUBTOTAL(109,Salud[OCT])</f>
        <v>0</v>
      </c>
      <c r="N68" s="47">
        <f>SUBTOTAL(109,Salud[NOV])</f>
        <v>0</v>
      </c>
      <c r="O68" s="48">
        <f>SUBTOTAL(109,Salud[DIC])</f>
        <v>0</v>
      </c>
      <c r="P68" s="47">
        <f>SUBTOTAL(109,Salud[AÑO])</f>
        <v>0</v>
      </c>
      <c r="Q68" s="49"/>
    </row>
    <row r="69" spans="1:17" ht="20.149999999999999" customHeight="1" thickTop="1" x14ac:dyDescent="0.3">
      <c r="C69" s="50"/>
      <c r="D69" s="50"/>
      <c r="E69" s="50"/>
      <c r="F69" s="50"/>
      <c r="G69" s="50"/>
      <c r="H69" s="50"/>
      <c r="I69" s="50"/>
      <c r="J69" s="50"/>
      <c r="K69" s="50"/>
      <c r="L69" s="50"/>
      <c r="M69" s="50"/>
      <c r="N69" s="50"/>
      <c r="O69" s="50"/>
      <c r="P69" s="50"/>
      <c r="Q69" s="50"/>
    </row>
    <row r="70" spans="1:17" ht="21" customHeight="1" x14ac:dyDescent="0.3">
      <c r="A70" s="10" t="s">
        <v>11</v>
      </c>
      <c r="B70" s="6"/>
      <c r="C70" s="69" t="s">
        <v>24</v>
      </c>
      <c r="D70" s="20" t="s">
        <v>31</v>
      </c>
      <c r="E70" s="21" t="s">
        <v>33</v>
      </c>
      <c r="F70" s="20" t="s">
        <v>35</v>
      </c>
      <c r="G70" s="21" t="s">
        <v>37</v>
      </c>
      <c r="H70" s="20" t="s">
        <v>59</v>
      </c>
      <c r="I70" s="21" t="s">
        <v>40</v>
      </c>
      <c r="J70" s="20" t="s">
        <v>42</v>
      </c>
      <c r="K70" s="21" t="s">
        <v>44</v>
      </c>
      <c r="L70" s="20" t="s">
        <v>46</v>
      </c>
      <c r="M70" s="21" t="s">
        <v>48</v>
      </c>
      <c r="N70" s="20" t="s">
        <v>50</v>
      </c>
      <c r="O70" s="21" t="s">
        <v>52</v>
      </c>
      <c r="P70" s="20" t="s">
        <v>54</v>
      </c>
      <c r="Q70" s="26" t="s">
        <v>56</v>
      </c>
    </row>
    <row r="71" spans="1:17" ht="15.9" customHeight="1" x14ac:dyDescent="0.3">
      <c r="B71" s="6"/>
      <c r="C71" s="64" t="s">
        <v>110</v>
      </c>
      <c r="D71" s="22"/>
      <c r="E71" s="23"/>
      <c r="F71" s="22"/>
      <c r="G71" s="23"/>
      <c r="H71" s="22"/>
      <c r="I71" s="23"/>
      <c r="J71" s="22"/>
      <c r="K71" s="23"/>
      <c r="L71" s="22"/>
      <c r="M71" s="23"/>
      <c r="N71" s="22"/>
      <c r="O71" s="23"/>
      <c r="P71" s="39">
        <f>SUM(Vacaciones[[#This Row],[ENE]:[DIC]])</f>
        <v>0</v>
      </c>
      <c r="Q71" s="30"/>
    </row>
    <row r="72" spans="1:17" ht="21" customHeight="1" thickBot="1" x14ac:dyDescent="0.35">
      <c r="B72" s="6"/>
      <c r="C72" s="76" t="s">
        <v>20</v>
      </c>
      <c r="D72" s="51">
        <f>SUBTOTAL(109,Vacaciones[ENE])</f>
        <v>0</v>
      </c>
      <c r="E72" s="48">
        <f>SUBTOTAL(109,Vacaciones[FEB])</f>
        <v>0</v>
      </c>
      <c r="F72" s="51">
        <f>SUBTOTAL(109,Vacaciones[MAR])</f>
        <v>0</v>
      </c>
      <c r="G72" s="48">
        <f>SUBTOTAL(109,Vacaciones[ABR])</f>
        <v>0</v>
      </c>
      <c r="H72" s="51">
        <f>SUBTOTAL(109,Vacaciones[MAY])</f>
        <v>0</v>
      </c>
      <c r="I72" s="48">
        <f>SUBTOTAL(109,Vacaciones[JUN])</f>
        <v>0</v>
      </c>
      <c r="J72" s="51">
        <f>SUBTOTAL(109,Vacaciones[JUL])</f>
        <v>0</v>
      </c>
      <c r="K72" s="48">
        <f>SUBTOTAL(109,Vacaciones[AGO])</f>
        <v>0</v>
      </c>
      <c r="L72" s="51">
        <f>SUBTOTAL(109,Vacaciones[SEP])</f>
        <v>0</v>
      </c>
      <c r="M72" s="48">
        <f>SUBTOTAL(109,Vacaciones[OCT])</f>
        <v>0</v>
      </c>
      <c r="N72" s="51">
        <f>SUBTOTAL(109,Vacaciones[NOV])</f>
        <v>0</v>
      </c>
      <c r="O72" s="48">
        <f>SUBTOTAL(109,Vacaciones[DIC])</f>
        <v>0</v>
      </c>
      <c r="P72" s="51">
        <f>SUBTOTAL(109,Vacaciones[AÑO])</f>
        <v>0</v>
      </c>
      <c r="Q72" s="49"/>
    </row>
    <row r="73" spans="1:17" ht="20.149999999999999" customHeight="1" thickTop="1" x14ac:dyDescent="0.3">
      <c r="C73" s="50"/>
      <c r="D73" s="50"/>
      <c r="E73" s="50"/>
      <c r="F73" s="50"/>
      <c r="G73" s="50"/>
      <c r="H73" s="50"/>
      <c r="I73" s="50"/>
      <c r="J73" s="50"/>
      <c r="K73" s="50"/>
      <c r="L73" s="50"/>
      <c r="M73" s="50"/>
      <c r="N73" s="50"/>
      <c r="O73" s="50"/>
      <c r="P73" s="50"/>
      <c r="Q73" s="50"/>
    </row>
    <row r="74" spans="1:17" ht="21" customHeight="1" x14ac:dyDescent="0.3">
      <c r="A74" s="10" t="s">
        <v>12</v>
      </c>
      <c r="B74" s="7"/>
      <c r="C74" s="77" t="s">
        <v>25</v>
      </c>
      <c r="D74" s="20" t="s">
        <v>31</v>
      </c>
      <c r="E74" s="21" t="s">
        <v>33</v>
      </c>
      <c r="F74" s="20" t="s">
        <v>35</v>
      </c>
      <c r="G74" s="21" t="s">
        <v>37</v>
      </c>
      <c r="H74" s="20" t="s">
        <v>59</v>
      </c>
      <c r="I74" s="21" t="s">
        <v>40</v>
      </c>
      <c r="J74" s="20" t="s">
        <v>42</v>
      </c>
      <c r="K74" s="21" t="s">
        <v>44</v>
      </c>
      <c r="L74" s="20" t="s">
        <v>46</v>
      </c>
      <c r="M74" s="21" t="s">
        <v>48</v>
      </c>
      <c r="N74" s="20" t="s">
        <v>50</v>
      </c>
      <c r="O74" s="21" t="s">
        <v>52</v>
      </c>
      <c r="P74" s="20" t="s">
        <v>54</v>
      </c>
      <c r="Q74" s="26" t="s">
        <v>56</v>
      </c>
    </row>
    <row r="75" spans="1:17" ht="15.9" customHeight="1" x14ac:dyDescent="0.3">
      <c r="B75" s="7"/>
      <c r="C75" s="64" t="s">
        <v>110</v>
      </c>
      <c r="D75" s="22"/>
      <c r="E75" s="23"/>
      <c r="F75" s="22"/>
      <c r="G75" s="23"/>
      <c r="H75" s="22"/>
      <c r="I75" s="23"/>
      <c r="J75" s="22"/>
      <c r="K75" s="23"/>
      <c r="L75" s="22"/>
      <c r="M75" s="23"/>
      <c r="N75" s="22"/>
      <c r="O75" s="23"/>
      <c r="P75" s="39">
        <f>SUM(Recreo[[#This Row],[ENE]:[DIC]])</f>
        <v>0</v>
      </c>
      <c r="Q75" s="30"/>
    </row>
    <row r="76" spans="1:17" ht="21" customHeight="1" thickBot="1" x14ac:dyDescent="0.35">
      <c r="B76" s="7"/>
      <c r="C76" s="76" t="s">
        <v>20</v>
      </c>
      <c r="D76" s="52">
        <f>SUBTOTAL(109,Recreo[ENE])</f>
        <v>0</v>
      </c>
      <c r="E76" s="53">
        <f>SUBTOTAL(109,Recreo[FEB])</f>
        <v>0</v>
      </c>
      <c r="F76" s="52">
        <f>SUBTOTAL(109,Recreo[MAR])</f>
        <v>0</v>
      </c>
      <c r="G76" s="53">
        <f>SUBTOTAL(109,Recreo[ABR])</f>
        <v>0</v>
      </c>
      <c r="H76" s="52">
        <f>SUBTOTAL(109,Recreo[MAY])</f>
        <v>0</v>
      </c>
      <c r="I76" s="53">
        <f>SUBTOTAL(109,Recreo[JUN])</f>
        <v>0</v>
      </c>
      <c r="J76" s="52">
        <f>SUBTOTAL(109,Recreo[JUL])</f>
        <v>0</v>
      </c>
      <c r="K76" s="53">
        <f>SUBTOTAL(109,Recreo[AGO])</f>
        <v>0</v>
      </c>
      <c r="L76" s="52">
        <f>SUBTOTAL(109,Recreo[SEP])</f>
        <v>0</v>
      </c>
      <c r="M76" s="53">
        <f>SUBTOTAL(109,Recreo[OCT])</f>
        <v>0</v>
      </c>
      <c r="N76" s="52">
        <f>SUBTOTAL(109,Recreo[NOV])</f>
        <v>0</v>
      </c>
      <c r="O76" s="53">
        <f>SUBTOTAL(109,Recreo[DIC])</f>
        <v>0</v>
      </c>
      <c r="P76" s="52">
        <f>SUBTOTAL(109,Recreo[AÑO])</f>
        <v>0</v>
      </c>
      <c r="Q76" s="49"/>
    </row>
    <row r="77" spans="1:17" ht="20.149999999999999" customHeight="1" thickTop="1" x14ac:dyDescent="0.3">
      <c r="C77" s="50"/>
      <c r="D77" s="50"/>
      <c r="E77" s="50"/>
      <c r="F77" s="50"/>
      <c r="G77" s="50"/>
      <c r="H77" s="50"/>
      <c r="I77" s="50"/>
      <c r="J77" s="50"/>
      <c r="K77" s="50"/>
      <c r="L77" s="50"/>
      <c r="M77" s="50"/>
      <c r="N77" s="50"/>
      <c r="O77" s="50"/>
      <c r="P77" s="50"/>
      <c r="Q77" s="50"/>
    </row>
    <row r="78" spans="1:17" ht="21" customHeight="1" x14ac:dyDescent="0.3">
      <c r="A78" s="10" t="s">
        <v>60</v>
      </c>
      <c r="B78" s="7"/>
      <c r="C78" s="78" t="s">
        <v>26</v>
      </c>
      <c r="D78" s="24" t="s">
        <v>31</v>
      </c>
      <c r="E78" s="21" t="s">
        <v>33</v>
      </c>
      <c r="F78" s="24" t="s">
        <v>35</v>
      </c>
      <c r="G78" s="21" t="s">
        <v>37</v>
      </c>
      <c r="H78" s="24" t="s">
        <v>59</v>
      </c>
      <c r="I78" s="21" t="s">
        <v>40</v>
      </c>
      <c r="J78" s="24" t="s">
        <v>42</v>
      </c>
      <c r="K78" s="21" t="s">
        <v>44</v>
      </c>
      <c r="L78" s="24" t="s">
        <v>46</v>
      </c>
      <c r="M78" s="21" t="s">
        <v>48</v>
      </c>
      <c r="N78" s="24" t="s">
        <v>50</v>
      </c>
      <c r="O78" s="21" t="s">
        <v>52</v>
      </c>
      <c r="P78" s="24" t="s">
        <v>54</v>
      </c>
      <c r="Q78" s="26" t="s">
        <v>56</v>
      </c>
    </row>
    <row r="79" spans="1:17" ht="15.9" customHeight="1" x14ac:dyDescent="0.3">
      <c r="B79" s="7"/>
      <c r="C79" s="64" t="s">
        <v>110</v>
      </c>
      <c r="D79" s="25"/>
      <c r="E79" s="23"/>
      <c r="F79" s="25"/>
      <c r="G79" s="23"/>
      <c r="H79" s="25"/>
      <c r="I79" s="23"/>
      <c r="J79" s="25"/>
      <c r="K79" s="23"/>
      <c r="L79" s="25"/>
      <c r="M79" s="23"/>
      <c r="N79" s="25"/>
      <c r="O79" s="23"/>
      <c r="P79" s="44">
        <f>SUM(DuesAndSubscription[[#This Row],[ENE]:[DIC]])</f>
        <v>0</v>
      </c>
      <c r="Q79" s="30"/>
    </row>
    <row r="80" spans="1:17" ht="21" customHeight="1" thickBot="1" x14ac:dyDescent="0.35">
      <c r="B80" s="7"/>
      <c r="C80" s="75" t="s">
        <v>20</v>
      </c>
      <c r="D80" s="54">
        <f>SUBTOTAL(109,DuesAndSubscription[ENE])</f>
        <v>0</v>
      </c>
      <c r="E80" s="53">
        <f>SUBTOTAL(109,DuesAndSubscription[FEB])</f>
        <v>0</v>
      </c>
      <c r="F80" s="54">
        <f>SUBTOTAL(109,DuesAndSubscription[MAR])</f>
        <v>0</v>
      </c>
      <c r="G80" s="53">
        <f>SUBTOTAL(109,DuesAndSubscription[ABR])</f>
        <v>0</v>
      </c>
      <c r="H80" s="54">
        <f>SUBTOTAL(109,DuesAndSubscription[MAY])</f>
        <v>0</v>
      </c>
      <c r="I80" s="53">
        <f>SUBTOTAL(109,DuesAndSubscription[JUN])</f>
        <v>0</v>
      </c>
      <c r="J80" s="54">
        <f>SUBTOTAL(109,DuesAndSubscription[JUL])</f>
        <v>0</v>
      </c>
      <c r="K80" s="53">
        <f>SUBTOTAL(109,DuesAndSubscription[AGO])</f>
        <v>0</v>
      </c>
      <c r="L80" s="54">
        <f>SUBTOTAL(109,DuesAndSubscription[SEP])</f>
        <v>0</v>
      </c>
      <c r="M80" s="53">
        <f>SUBTOTAL(109,DuesAndSubscription[OCT])</f>
        <v>0</v>
      </c>
      <c r="N80" s="54">
        <f>SUBTOTAL(109,DuesAndSubscription[NOV])</f>
        <v>0</v>
      </c>
      <c r="O80" s="53">
        <f>SUBTOTAL(109,DuesAndSubscription[DIC])</f>
        <v>0</v>
      </c>
      <c r="P80" s="54">
        <f>SUBTOTAL(109,DuesAndSubscription[AÑO])</f>
        <v>0</v>
      </c>
      <c r="Q80" s="49"/>
    </row>
    <row r="81" spans="1:17" ht="20.149999999999999" customHeight="1" thickTop="1" x14ac:dyDescent="0.3">
      <c r="C81" s="50"/>
      <c r="D81" s="50"/>
      <c r="E81" s="50"/>
      <c r="F81" s="50"/>
      <c r="G81" s="50"/>
      <c r="H81" s="50"/>
      <c r="I81" s="50"/>
      <c r="J81" s="50"/>
      <c r="K81" s="50"/>
      <c r="L81" s="50"/>
      <c r="M81" s="50"/>
      <c r="N81" s="50"/>
      <c r="O81" s="50"/>
      <c r="P81" s="50"/>
      <c r="Q81" s="50"/>
    </row>
    <row r="82" spans="1:17" ht="21" customHeight="1" x14ac:dyDescent="0.3">
      <c r="A82" s="10" t="s">
        <v>13</v>
      </c>
      <c r="B82" s="7"/>
      <c r="C82" s="78" t="s">
        <v>27</v>
      </c>
      <c r="D82" s="24" t="s">
        <v>31</v>
      </c>
      <c r="E82" s="21" t="s">
        <v>33</v>
      </c>
      <c r="F82" s="24" t="s">
        <v>35</v>
      </c>
      <c r="G82" s="21" t="s">
        <v>37</v>
      </c>
      <c r="H82" s="24" t="s">
        <v>59</v>
      </c>
      <c r="I82" s="21" t="s">
        <v>40</v>
      </c>
      <c r="J82" s="24" t="s">
        <v>42</v>
      </c>
      <c r="K82" s="21" t="s">
        <v>44</v>
      </c>
      <c r="L82" s="24" t="s">
        <v>46</v>
      </c>
      <c r="M82" s="21" t="s">
        <v>48</v>
      </c>
      <c r="N82" s="24" t="s">
        <v>50</v>
      </c>
      <c r="O82" s="21" t="s">
        <v>52</v>
      </c>
      <c r="P82" s="24" t="s">
        <v>54</v>
      </c>
      <c r="Q82" s="26" t="s">
        <v>56</v>
      </c>
    </row>
    <row r="83" spans="1:17" ht="15.9" customHeight="1" x14ac:dyDescent="0.3">
      <c r="B83" s="7"/>
      <c r="C83" s="64" t="s">
        <v>110</v>
      </c>
      <c r="D83" s="25"/>
      <c r="E83" s="23"/>
      <c r="F83" s="25"/>
      <c r="G83" s="23"/>
      <c r="H83" s="25"/>
      <c r="I83" s="23"/>
      <c r="J83" s="25"/>
      <c r="K83" s="23"/>
      <c r="L83" s="25"/>
      <c r="M83" s="23"/>
      <c r="N83" s="25"/>
      <c r="O83" s="23"/>
      <c r="P83" s="44">
        <f>SUM(Personal[[#This Row],[ENE]:[DIC]])</f>
        <v>0</v>
      </c>
      <c r="Q83" s="30"/>
    </row>
    <row r="84" spans="1:17" ht="15.9" customHeight="1" x14ac:dyDescent="0.3">
      <c r="B84" s="7"/>
      <c r="C84" s="73" t="s">
        <v>20</v>
      </c>
      <c r="D84" s="45">
        <f>SUBTOTAL(109,Personal[ENE])</f>
        <v>0</v>
      </c>
      <c r="E84" s="46">
        <f>SUBTOTAL(109,Personal[FEB])</f>
        <v>0</v>
      </c>
      <c r="F84" s="45">
        <f>SUBTOTAL(109,Personal[MAR])</f>
        <v>0</v>
      </c>
      <c r="G84" s="46">
        <f>SUBTOTAL(109,Personal[ABR])</f>
        <v>0</v>
      </c>
      <c r="H84" s="45">
        <f>SUBTOTAL(109,Personal[MAY])</f>
        <v>0</v>
      </c>
      <c r="I84" s="46">
        <f>SUBTOTAL(109,Personal[JUN])</f>
        <v>0</v>
      </c>
      <c r="J84" s="45">
        <f>SUBTOTAL(109,Personal[JUL])</f>
        <v>0</v>
      </c>
      <c r="K84" s="46">
        <f>SUBTOTAL(109,Personal[AGO])</f>
        <v>0</v>
      </c>
      <c r="L84" s="45">
        <f>SUBTOTAL(109,Personal[SEP])</f>
        <v>0</v>
      </c>
      <c r="M84" s="46">
        <f>SUBTOTAL(109,Personal[OCT])</f>
        <v>0</v>
      </c>
      <c r="N84" s="45">
        <f>SUBTOTAL(109,Personal[NOV])</f>
        <v>0</v>
      </c>
      <c r="O84" s="46">
        <f>SUBTOTAL(109,Personal[DIC])</f>
        <v>0</v>
      </c>
      <c r="P84" s="45">
        <f>SUBTOTAL(109,Personal[AÑO])</f>
        <v>0</v>
      </c>
      <c r="Q84" s="42"/>
    </row>
    <row r="85" spans="1:17" ht="15.9" customHeight="1" x14ac:dyDescent="0.3">
      <c r="B85" s="19"/>
      <c r="C85" s="43"/>
      <c r="D85" s="43"/>
      <c r="E85" s="43"/>
      <c r="F85" s="43"/>
      <c r="G85" s="43"/>
      <c r="H85" s="43"/>
      <c r="I85" s="43"/>
      <c r="J85" s="43"/>
      <c r="K85" s="43"/>
      <c r="L85" s="43"/>
      <c r="M85" s="43"/>
      <c r="N85" s="43"/>
      <c r="O85" s="43"/>
      <c r="P85" s="43"/>
      <c r="Q85" s="43"/>
    </row>
    <row r="86" spans="1:17" ht="15.9" customHeight="1" x14ac:dyDescent="0.3">
      <c r="B86" s="6"/>
      <c r="C86" s="77" t="s">
        <v>28</v>
      </c>
      <c r="D86" s="20" t="s">
        <v>31</v>
      </c>
      <c r="E86" s="21" t="s">
        <v>33</v>
      </c>
      <c r="F86" s="20" t="s">
        <v>35</v>
      </c>
      <c r="G86" s="21" t="s">
        <v>37</v>
      </c>
      <c r="H86" s="20" t="s">
        <v>59</v>
      </c>
      <c r="I86" s="21" t="s">
        <v>40</v>
      </c>
      <c r="J86" s="20" t="s">
        <v>42</v>
      </c>
      <c r="K86" s="21" t="s">
        <v>44</v>
      </c>
      <c r="L86" s="20" t="s">
        <v>46</v>
      </c>
      <c r="M86" s="21" t="s">
        <v>48</v>
      </c>
      <c r="N86" s="20" t="s">
        <v>50</v>
      </c>
      <c r="O86" s="21" t="s">
        <v>52</v>
      </c>
      <c r="P86" s="20" t="s">
        <v>54</v>
      </c>
      <c r="Q86" s="26" t="s">
        <v>56</v>
      </c>
    </row>
    <row r="87" spans="1:17" ht="15.9" customHeight="1" x14ac:dyDescent="0.3">
      <c r="B87" s="6"/>
      <c r="C87" s="70" t="s">
        <v>108</v>
      </c>
      <c r="D87" s="22"/>
      <c r="E87" s="23"/>
      <c r="F87" s="22"/>
      <c r="G87" s="23"/>
      <c r="H87" s="22"/>
      <c r="I87" s="23"/>
      <c r="J87" s="22"/>
      <c r="K87" s="23"/>
      <c r="L87" s="22"/>
      <c r="M87" s="23"/>
      <c r="N87" s="22"/>
      <c r="O87" s="23"/>
      <c r="P87" s="39">
        <f>SUM(Finanzas[[#This Row],[ENE]:[DIC]])</f>
        <v>0</v>
      </c>
      <c r="Q87" s="30"/>
    </row>
    <row r="88" spans="1:17" ht="21" customHeight="1" x14ac:dyDescent="0.3">
      <c r="B88" s="6"/>
      <c r="C88" s="70" t="s">
        <v>109</v>
      </c>
      <c r="D88" s="22"/>
      <c r="E88" s="23"/>
      <c r="F88" s="22"/>
      <c r="G88" s="23"/>
      <c r="H88" s="22"/>
      <c r="I88" s="23"/>
      <c r="J88" s="22"/>
      <c r="K88" s="23"/>
      <c r="L88" s="22"/>
      <c r="M88" s="23"/>
      <c r="N88" s="22"/>
      <c r="O88" s="23"/>
      <c r="P88" s="39">
        <f>SUM(Finanzas[[#This Row],[ENE]:[DIC]])</f>
        <v>0</v>
      </c>
      <c r="Q88" s="30"/>
    </row>
    <row r="89" spans="1:17" ht="20.149999999999999" customHeight="1" x14ac:dyDescent="0.3">
      <c r="B89" s="6"/>
      <c r="C89" s="70" t="s">
        <v>88</v>
      </c>
      <c r="D89" s="22"/>
      <c r="E89" s="23"/>
      <c r="F89" s="22"/>
      <c r="G89" s="23"/>
      <c r="H89" s="22"/>
      <c r="I89" s="23"/>
      <c r="J89" s="22"/>
      <c r="K89" s="23"/>
      <c r="L89" s="22"/>
      <c r="M89" s="23"/>
      <c r="N89" s="22"/>
      <c r="O89" s="23"/>
      <c r="P89" s="39">
        <f>SUM(Finanzas[[#This Row],[ENE]:[DIC]])</f>
        <v>0</v>
      </c>
      <c r="Q89" s="30"/>
    </row>
    <row r="90" spans="1:17" ht="21" customHeight="1" x14ac:dyDescent="0.3">
      <c r="A90" s="10" t="s">
        <v>14</v>
      </c>
      <c r="B90" s="6"/>
      <c r="C90" s="70" t="s">
        <v>92</v>
      </c>
      <c r="D90" s="22"/>
      <c r="E90" s="23"/>
      <c r="F90" s="22"/>
      <c r="G90" s="23"/>
      <c r="H90" s="22"/>
      <c r="I90" s="23"/>
      <c r="J90" s="22"/>
      <c r="K90" s="23"/>
      <c r="L90" s="22"/>
      <c r="M90" s="23"/>
      <c r="N90" s="22"/>
      <c r="O90" s="23"/>
      <c r="P90" s="39">
        <f>SUM(Finanzas[[#This Row],[ENE]:[DIC]])</f>
        <v>0</v>
      </c>
      <c r="Q90" s="30"/>
    </row>
    <row r="91" spans="1:17" ht="15.9" customHeight="1" x14ac:dyDescent="0.3">
      <c r="B91" s="6"/>
      <c r="C91" s="70" t="s">
        <v>89</v>
      </c>
      <c r="D91" s="22"/>
      <c r="E91" s="23"/>
      <c r="F91" s="22"/>
      <c r="G91" s="23"/>
      <c r="H91" s="22"/>
      <c r="I91" s="23"/>
      <c r="J91" s="22"/>
      <c r="K91" s="23"/>
      <c r="L91" s="22"/>
      <c r="M91" s="23"/>
      <c r="N91" s="22"/>
      <c r="O91" s="23"/>
      <c r="P91" s="39">
        <f>SUM(Finanzas[[#This Row],[ENE]:[DIC]])</f>
        <v>0</v>
      </c>
      <c r="Q91" s="30"/>
    </row>
    <row r="92" spans="1:17" ht="21" customHeight="1" x14ac:dyDescent="0.3">
      <c r="B92" s="6"/>
      <c r="C92" s="70" t="s">
        <v>110</v>
      </c>
      <c r="D92" s="22"/>
      <c r="E92" s="23"/>
      <c r="F92" s="22"/>
      <c r="G92" s="23"/>
      <c r="H92" s="22"/>
      <c r="I92" s="23"/>
      <c r="J92" s="22"/>
      <c r="K92" s="23"/>
      <c r="L92" s="22"/>
      <c r="M92" s="23"/>
      <c r="N92" s="22"/>
      <c r="O92" s="23"/>
      <c r="P92" s="39">
        <f>SUM(Finanzas[[#This Row],[ENE]:[DIC]])</f>
        <v>0</v>
      </c>
      <c r="Q92" s="30"/>
    </row>
    <row r="93" spans="1:17" ht="20.149999999999999" customHeight="1" thickBot="1" x14ac:dyDescent="0.35">
      <c r="C93" s="76" t="s">
        <v>20</v>
      </c>
      <c r="D93" s="51">
        <f>SUBTOTAL(109,Finanzas[ENE])</f>
        <v>0</v>
      </c>
      <c r="E93" s="48">
        <f>SUBTOTAL(109,Finanzas[FEB])</f>
        <v>0</v>
      </c>
      <c r="F93" s="51">
        <f>SUBTOTAL(109,Finanzas[MAR])</f>
        <v>0</v>
      </c>
      <c r="G93" s="48">
        <f>SUBTOTAL(109,Finanzas[ABR])</f>
        <v>0</v>
      </c>
      <c r="H93" s="51">
        <f>SUBTOTAL(109,Finanzas[MAY])</f>
        <v>0</v>
      </c>
      <c r="I93" s="48">
        <f>SUBTOTAL(109,Finanzas[JUN])</f>
        <v>0</v>
      </c>
      <c r="J93" s="51">
        <f>SUBTOTAL(109,Finanzas[JUL])</f>
        <v>0</v>
      </c>
      <c r="K93" s="48">
        <f>SUBTOTAL(109,Finanzas[AGO])</f>
        <v>0</v>
      </c>
      <c r="L93" s="51">
        <f>SUBTOTAL(109,Finanzas[SEP])</f>
        <v>0</v>
      </c>
      <c r="M93" s="48">
        <f>SUBTOTAL(109,Finanzas[OCT])</f>
        <v>0</v>
      </c>
      <c r="N93" s="51">
        <f>SUBTOTAL(109,Finanzas[NOV])</f>
        <v>0</v>
      </c>
      <c r="O93" s="48">
        <f>SUBTOTAL(109,Finanzas[DIC])</f>
        <v>0</v>
      </c>
      <c r="P93" s="51">
        <f>SUBTOTAL(109,Finanzas[AÑO])</f>
        <v>0</v>
      </c>
      <c r="Q93" s="49"/>
    </row>
    <row r="94" spans="1:17" ht="21" customHeight="1" thickTop="1" x14ac:dyDescent="0.3">
      <c r="A94" s="10" t="s">
        <v>61</v>
      </c>
      <c r="C94" s="50"/>
      <c r="D94" s="50"/>
      <c r="E94" s="50"/>
      <c r="F94" s="50"/>
      <c r="G94" s="50"/>
      <c r="H94" s="50"/>
      <c r="I94" s="50"/>
      <c r="J94" s="50"/>
      <c r="K94" s="50"/>
      <c r="L94" s="50"/>
      <c r="M94" s="50"/>
      <c r="N94" s="50"/>
      <c r="O94" s="50"/>
      <c r="P94" s="50"/>
      <c r="Q94" s="50"/>
    </row>
    <row r="95" spans="1:17" ht="15.9" customHeight="1" x14ac:dyDescent="0.3">
      <c r="B95" s="6"/>
      <c r="C95" s="77" t="s">
        <v>66</v>
      </c>
      <c r="D95" s="20" t="s">
        <v>31</v>
      </c>
      <c r="E95" s="21" t="s">
        <v>33</v>
      </c>
      <c r="F95" s="20" t="s">
        <v>35</v>
      </c>
      <c r="G95" s="21" t="s">
        <v>37</v>
      </c>
      <c r="H95" s="20" t="s">
        <v>59</v>
      </c>
      <c r="I95" s="21" t="s">
        <v>40</v>
      </c>
      <c r="J95" s="20" t="s">
        <v>42</v>
      </c>
      <c r="K95" s="21" t="s">
        <v>44</v>
      </c>
      <c r="L95" s="20" t="s">
        <v>46</v>
      </c>
      <c r="M95" s="21" t="s">
        <v>48</v>
      </c>
      <c r="N95" s="20" t="s">
        <v>50</v>
      </c>
      <c r="O95" s="21" t="s">
        <v>52</v>
      </c>
      <c r="P95" s="20" t="s">
        <v>54</v>
      </c>
      <c r="Q95" s="26" t="s">
        <v>56</v>
      </c>
    </row>
    <row r="96" spans="1:17" ht="15.9" customHeight="1" x14ac:dyDescent="0.3">
      <c r="B96" s="6"/>
      <c r="C96" s="70" t="s">
        <v>110</v>
      </c>
      <c r="D96" s="22"/>
      <c r="E96" s="23"/>
      <c r="F96" s="22"/>
      <c r="G96" s="23"/>
      <c r="H96" s="22"/>
      <c r="I96" s="23"/>
      <c r="J96" s="22"/>
      <c r="K96" s="23"/>
      <c r="L96" s="22"/>
      <c r="M96" s="23"/>
      <c r="N96" s="22"/>
      <c r="O96" s="23"/>
      <c r="P96" s="39">
        <f>SUM(Varios[[#This Row],[ENE]:[DIC]])</f>
        <v>0</v>
      </c>
      <c r="Q96" s="30"/>
    </row>
    <row r="97" spans="2:17" ht="14" thickBot="1" x14ac:dyDescent="0.35">
      <c r="C97" s="76" t="s">
        <v>20</v>
      </c>
      <c r="D97" s="52">
        <f>SUBTOTAL(109,Varios[ENE])</f>
        <v>0</v>
      </c>
      <c r="E97" s="53">
        <f>SUBTOTAL(109,Varios[FEB])</f>
        <v>0</v>
      </c>
      <c r="F97" s="52">
        <f>SUBTOTAL(109,Varios[MAR])</f>
        <v>0</v>
      </c>
      <c r="G97" s="53">
        <f>SUBTOTAL(109,Varios[ABR])</f>
        <v>0</v>
      </c>
      <c r="H97" s="52">
        <f>SUBTOTAL(109,Varios[MAY])</f>
        <v>0</v>
      </c>
      <c r="I97" s="53">
        <f>SUBTOTAL(109,Varios[JUN])</f>
        <v>0</v>
      </c>
      <c r="J97" s="52">
        <f>SUBTOTAL(109,Varios[JUL])</f>
        <v>0</v>
      </c>
      <c r="K97" s="53">
        <f>SUBTOTAL(109,Varios[AGO])</f>
        <v>0</v>
      </c>
      <c r="L97" s="52">
        <f>SUBTOTAL(109,Varios[SEP])</f>
        <v>0</v>
      </c>
      <c r="M97" s="53">
        <f>SUBTOTAL(109,Varios[OCT])</f>
        <v>0</v>
      </c>
      <c r="N97" s="52">
        <f>SUBTOTAL(109,Varios[NOV])</f>
        <v>0</v>
      </c>
      <c r="O97" s="53">
        <f>SUBTOTAL(109,Varios[DIC])</f>
        <v>0</v>
      </c>
      <c r="P97" s="52">
        <f>SUBTOTAL(109,Varios[AÑO])</f>
        <v>0</v>
      </c>
      <c r="Q97" s="49"/>
    </row>
    <row r="98" spans="2:17" ht="30" customHeight="1" thickTop="1" x14ac:dyDescent="0.3">
      <c r="C98" s="50"/>
      <c r="D98" s="50"/>
      <c r="E98" s="50"/>
      <c r="F98" s="50"/>
      <c r="G98" s="50"/>
      <c r="H98" s="50"/>
      <c r="I98" s="50"/>
      <c r="J98" s="50"/>
      <c r="K98" s="50"/>
      <c r="L98" s="50"/>
      <c r="M98" s="50"/>
      <c r="N98" s="50"/>
      <c r="O98" s="50"/>
      <c r="P98" s="50"/>
      <c r="Q98" s="50"/>
    </row>
    <row r="99" spans="2:17" ht="16" x14ac:dyDescent="0.3">
      <c r="B99" s="2"/>
      <c r="C99" s="79" t="s">
        <v>29</v>
      </c>
      <c r="D99" s="56" t="s">
        <v>31</v>
      </c>
      <c r="E99" s="55" t="s">
        <v>33</v>
      </c>
      <c r="F99" s="56" t="s">
        <v>35</v>
      </c>
      <c r="G99" s="55" t="s">
        <v>37</v>
      </c>
      <c r="H99" s="56" t="s">
        <v>59</v>
      </c>
      <c r="I99" s="55" t="s">
        <v>40</v>
      </c>
      <c r="J99" s="56" t="s">
        <v>42</v>
      </c>
      <c r="K99" s="55" t="s">
        <v>44</v>
      </c>
      <c r="L99" s="56" t="s">
        <v>46</v>
      </c>
      <c r="M99" s="55" t="s">
        <v>48</v>
      </c>
      <c r="N99" s="56" t="s">
        <v>50</v>
      </c>
      <c r="O99" s="55" t="s">
        <v>52</v>
      </c>
      <c r="P99" s="56" t="s">
        <v>54</v>
      </c>
      <c r="Q99" s="57" t="s">
        <v>57</v>
      </c>
    </row>
    <row r="100" spans="2:17" ht="13.5" x14ac:dyDescent="0.3">
      <c r="B100" s="2"/>
      <c r="C100" s="80" t="s">
        <v>62</v>
      </c>
      <c r="D100" s="58">
        <f>SUM(Varios[[#Totals],[ENE]],Finanzas[[#Totals],[ENE]],Personal[[#Totals],[ENE]],DuesAndSubscription[[#Totals],[ENE]],Recreo[[#Totals],[ENE]],Vacaciones[[#Totals],[ENE]],Salud[[#Totals],[ENE]],Entretenimiento[[#Totals],[ENE]],Transporte[[#Totals],[ENE]],Diario[[#Totals],[ENE]],Hogar[[#Totals],[Enero]])</f>
        <v>0</v>
      </c>
      <c r="E100" s="59">
        <f>SUM(Varios[[#Totals],[FEB]],Finanzas[[#Totals],[FEB]],Personal[[#Totals],[FEB]],DuesAndSubscription[[#Totals],[FEB]],Recreo[[#Totals],[FEB]],Vacaciones[[#Totals],[FEB]],Salud[[#Totals],[FEB]],Entretenimiento[[#Totals],[FEB]],Transporte[[#Totals],[FEB]],Diario[[#Totals],[FEB]],Hogar[[#Totals],[Febrero]])</f>
        <v>0</v>
      </c>
      <c r="F100" s="58">
        <f>SUM(Varios[[#Totals],[MAR]],Finanzas[[#Totals],[MAR]],Personal[[#Totals],[MAR]],DuesAndSubscription[[#Totals],[MAR]],Recreo[[#Totals],[MAR]],Vacaciones[[#Totals],[MAR]],Salud[[#Totals],[MAR]],Entretenimiento[[#Totals],[MAR]],Transporte[[#Totals],[MAR]],Diario[[#Totals],[MAR]],Hogar[[#Totals],[Marzo]])</f>
        <v>0</v>
      </c>
      <c r="G100" s="59">
        <f>SUM(Varios[[#Totals],[ABR]],Finanzas[[#Totals],[ABR]],Personal[[#Totals],[ABR]],DuesAndSubscription[[#Totals],[ABR]],Recreo[[#Totals],[ABR]],Vacaciones[[#Totals],[ABR]],Salud[[#Totals],[ABR]],Entretenimiento[[#Totals],[ABR]],Transporte[[#Totals],[ABR]],Diario[[#Totals],[ABR]],Hogar[[#Totals],[Abril]])</f>
        <v>0</v>
      </c>
      <c r="H100" s="58">
        <f>SUM(Varios[[#Totals],[MAY]],Finanzas[[#Totals],[MAY]],Personal[[#Totals],[MAY]],DuesAndSubscription[[#Totals],[MAY]],Recreo[[#Totals],[MAY]],Vacaciones[[#Totals],[MAY]],Salud[[#Totals],[MAY]],Entretenimiento[[#Totals],[MAY]],Transporte[[#Totals],[MAY]],Diario[[#Totals],[MAY]],Hogar[[#Totals],[Mayo]])</f>
        <v>0</v>
      </c>
      <c r="I100" s="59">
        <f>SUM(Varios[[#Totals],[JUN]],Finanzas[[#Totals],[JUN]],Personal[[#Totals],[JUN]],DuesAndSubscription[[#Totals],[JUN]],Recreo[[#Totals],[JUN]],Vacaciones[[#Totals],[JUN]],Salud[[#Totals],[JUN]],Entretenimiento[[#Totals],[JUN]],Transporte[[#Totals],[JUN]],Diario[[#Totals],[JUN]],Hogar[[#Totals],[Junio]])</f>
        <v>0</v>
      </c>
      <c r="J100" s="58">
        <f>SUM(Varios[[#Totals],[JUL]],Finanzas[[#Totals],[JUL]],Personal[[#Totals],[JUL]],DuesAndSubscription[[#Totals],[JUL]],Recreo[[#Totals],[JUL]],Vacaciones[[#Totals],[JUL]],Salud[[#Totals],[JUL]],Entretenimiento[[#Totals],[JUL]],Transporte[[#Totals],[JUL]],Diario[[#Totals],[JUL]],Hogar[[#Totals],[Julio]])</f>
        <v>0</v>
      </c>
      <c r="K100" s="59">
        <f>SUM(Varios[[#Totals],[AGO]],Finanzas[[#Totals],[AGO]],Personal[[#Totals],[AGO]],DuesAndSubscription[[#Totals],[AGO]],Recreo[[#Totals],[AGO]],Vacaciones[[#Totals],[AGO]],Salud[[#Totals],[AGO]],Entretenimiento[[#Totals],[AGO]],Transporte[[#Totals],[AGO]],Diario[[#Totals],[AGO]],Hogar[[#Totals],[Agosto]])</f>
        <v>0</v>
      </c>
      <c r="L100" s="58">
        <f>SUM(Varios[[#Totals],[SEP]],Finanzas[[#Totals],[SEP]],Personal[[#Totals],[SEP]],DuesAndSubscription[[#Totals],[SEP]],Recreo[[#Totals],[SEP]],Vacaciones[[#Totals],[SEP]],Salud[[#Totals],[SEP]],Entretenimiento[[#Totals],[SEP]],Transporte[[#Totals],[SEP]],Diario[[#Totals],[SEP]],Hogar[[#Totals],[Septiembre]])</f>
        <v>0</v>
      </c>
      <c r="M100" s="59">
        <f>SUM(Varios[[#Totals],[OCT]],Finanzas[[#Totals],[OCT]],Personal[[#Totals],[OCT]],DuesAndSubscription[[#Totals],[OCT]],Recreo[[#Totals],[OCT]],Vacaciones[[#Totals],[OCT]],Salud[[#Totals],[OCT]],Entretenimiento[[#Totals],[OCT]],Transporte[[#Totals],[OCT]],Diario[[#Totals],[OCT]],Hogar[[#Totals],[Octubre]])</f>
        <v>0</v>
      </c>
      <c r="N100" s="58">
        <f>SUM(Varios[[#Totals],[NOV]],Finanzas[[#Totals],[NOV]],Personal[[#Totals],[NOV]],DuesAndSubscription[[#Totals],[NOV]],Recreo[[#Totals],[NOV]],Vacaciones[[#Totals],[NOV]],Salud[[#Totals],[NOV]],Entretenimiento[[#Totals],[NOV]],Transporte[[#Totals],[NOV]],Diario[[#Totals],[NOV]],Hogar[[#Totals],[Noviembre]])</f>
        <v>0</v>
      </c>
      <c r="O100" s="59">
        <f>SUM(Varios[[#Totals],[DIC]],Finanzas[[#Totals],[DIC]],Personal[[#Totals],[DIC]],DuesAndSubscription[[#Totals],[DIC]],Recreo[[#Totals],[DIC]],Vacaciones[[#Totals],[DIC]],Salud[[#Totals],[DIC]],Entretenimiento[[#Totals],[DIC]],Transporte[[#Totals],[DIC]],Diario[[#Totals],[DIC]],Hogar[[#Totals],[Diciembre]])</f>
        <v>0</v>
      </c>
      <c r="P100" s="58">
        <f>SUM(Varios[[#Totals],[AÑO]],Finanzas[[#Totals],[AÑO]],Personal[[#Totals],[AÑO]],DuesAndSubscription[[#Totals],[AÑO]],Recreo[[#Totals],[AÑO]],Vacaciones[[#Totals],[AÑO]],Salud[[#Totals],[AÑO]],Entretenimiento[[#Totals],[AÑO]],Transporte[[#Totals],[AÑO]],Diario[[#Totals],[AÑO]],Hogar[[#Totals],[Año]])</f>
        <v>0</v>
      </c>
      <c r="Q100" s="60"/>
    </row>
    <row r="101" spans="2:17" ht="13.5" x14ac:dyDescent="0.3">
      <c r="B101" s="2"/>
      <c r="C101" s="80" t="s">
        <v>30</v>
      </c>
      <c r="D101" s="58">
        <f>Ingresos[[#Totals],[14000]]-D100</f>
        <v>0</v>
      </c>
      <c r="E101" s="59">
        <f>Ingresos[[#Totals],[Columna2]]-E100</f>
        <v>0</v>
      </c>
      <c r="F101" s="58">
        <f>Ingresos[[#Totals],[Columna3]]-F100</f>
        <v>0</v>
      </c>
      <c r="G101" s="59">
        <f>Ingresos[[#Totals],[Abril]]-G100</f>
        <v>0</v>
      </c>
      <c r="H101" s="58">
        <f>Ingresos[[#Totals],[Mayo]]-H100</f>
        <v>0</v>
      </c>
      <c r="I101" s="59">
        <f>Ingresos[[#Totals],[Junio]]-I100</f>
        <v>0</v>
      </c>
      <c r="J101" s="58">
        <f>Ingresos[[#Totals],[Julio]]-J100</f>
        <v>0</v>
      </c>
      <c r="K101" s="59">
        <f>Ingresos[[#Totals],[Agosto]]-K100</f>
        <v>0</v>
      </c>
      <c r="L101" s="58">
        <f>Ingresos[[#Totals],[Septiembre]]-L100</f>
        <v>0</v>
      </c>
      <c r="M101" s="59">
        <f>Ingresos[[#Totals],[Octubre]]-M100</f>
        <v>0</v>
      </c>
      <c r="N101" s="58">
        <f>Ingresos[[#Totals],[Noviembre]]-N100</f>
        <v>0</v>
      </c>
      <c r="O101" s="59">
        <f>Ingresos[[#Totals],[Diciembre]]-O100</f>
        <v>0</v>
      </c>
      <c r="P101" s="58">
        <f>Ingresos[[#Totals],[Año]]-P100</f>
        <v>0</v>
      </c>
      <c r="Q101" s="60"/>
    </row>
    <row r="102" spans="2:17" ht="13.5" x14ac:dyDescent="0.3">
      <c r="B102" s="2"/>
      <c r="C102" s="4"/>
      <c r="D102" s="5"/>
      <c r="E102" s="4"/>
      <c r="F102" s="5"/>
      <c r="G102" s="4"/>
      <c r="H102" s="5"/>
      <c r="I102" s="4"/>
      <c r="J102" s="5"/>
      <c r="K102" s="4"/>
      <c r="L102" s="5"/>
      <c r="M102" s="4"/>
      <c r="N102" s="5"/>
      <c r="O102" s="4"/>
      <c r="P102" s="5"/>
      <c r="Q102" s="4"/>
    </row>
  </sheetData>
  <mergeCells count="12">
    <mergeCell ref="B2:D2"/>
    <mergeCell ref="E2:P2"/>
    <mergeCell ref="C43:Q43"/>
    <mergeCell ref="C98:Q98"/>
    <mergeCell ref="C94:Q94"/>
    <mergeCell ref="C85:Q85"/>
    <mergeCell ref="C81:Q81"/>
    <mergeCell ref="C77:Q77"/>
    <mergeCell ref="C73:Q73"/>
    <mergeCell ref="C69:Q69"/>
    <mergeCell ref="C58:Q58"/>
    <mergeCell ref="C51:Q51"/>
  </mergeCells>
  <phoneticPr fontId="19" type="noConversion"/>
  <conditionalFormatting sqref="D101:P101">
    <cfRule type="cellIs" dxfId="78" priority="1" operator="lessThan">
      <formula>0</formula>
    </cfRule>
  </conditionalFormatting>
  <printOptions horizontalCentered="1"/>
  <pageMargins left="0.4" right="0.4" top="0.4" bottom="0.4" header="0.3" footer="0.3"/>
  <pageSetup paperSize="9" fitToHeight="0" orientation="landscape" r:id="rId1"/>
  <headerFooter differentFirst="1">
    <oddFooter>Page &amp;P of &amp;N</oddFooter>
  </headerFooter>
  <ignoredErrors>
    <ignoredError sqref="D100:P100" calculatedColumn="1"/>
    <ignoredError sqref="P6:P8 P35:P40 P45:P48 P53:P56 P60:P65 P87:P89" emptyCellReference="1"/>
  </ignoredErrors>
  <drawing r:id="rId2"/>
  <tableParts count="13">
    <tablePart r:id="rId3"/>
    <tablePart r:id="rId4"/>
    <tablePart r:id="rId5"/>
    <tablePart r:id="rId6"/>
    <tablePart r:id="rId7"/>
    <tablePart r:id="rId8"/>
    <tablePart r:id="rId9"/>
    <tablePart r:id="rId10"/>
    <tablePart r:id="rId11"/>
    <tablePart r:id="rId12"/>
    <tablePart r:id="rId13"/>
    <tablePart r:id="rId14"/>
    <tablePart r:id="rId15"/>
  </tableParts>
  <extLst>
    <ext xmlns:x14="http://schemas.microsoft.com/office/spreadsheetml/2009/9/main" uri="{05C60535-1F16-4fd2-B633-F4F36F0B64E0}">
      <x14:sparklineGroups xmlns:xm="http://schemas.microsoft.com/office/excel/2006/main">
        <x14:sparklineGroup displayEmptyCellsAs="gap" high="1" low="1" xr2:uid="{00000000-0003-0000-0200-000000000000}">
          <x14:colorSeries theme="4" tint="-0.249977111117893"/>
          <x14:colorNegative theme="5"/>
          <x14:colorAxis rgb="FF000000"/>
          <x14:colorMarkers theme="5" tint="-0.249977111117893"/>
          <x14:colorFirst theme="5" tint="-0.249977111117893"/>
          <x14:colorLast theme="5" tint="-0.249977111117893"/>
          <x14:colorHigh theme="5" tint="-0.249977111117893"/>
          <x14:colorLow theme="5" tint="-0.249977111117893"/>
          <x14:sparklines>
            <x14:sparkline>
              <xm:f>'PRESUPUESTO PERSONAL Plantilla'!D96:O96</xm:f>
              <xm:sqref>Q96</xm:sqref>
            </x14:sparkline>
            <x14:sparkline>
              <xm:f>'PRESUPUESTO PERSONAL Plantilla'!D97:O97</xm:f>
              <xm:sqref>Q97</xm:sqref>
            </x14:sparkline>
          </x14:sparklines>
        </x14:sparklineGroup>
        <x14:sparklineGroup displayEmptyCellsAs="gap" high="1" low="1" xr2:uid="{00000000-0003-0000-0200-00000C000000}">
          <x14:colorSeries theme="4" tint="-0.249977111117893"/>
          <x14:colorNegative theme="5"/>
          <x14:colorAxis rgb="FF000000"/>
          <x14:colorMarkers theme="5" tint="-0.249977111117893"/>
          <x14:colorFirst theme="5" tint="-0.249977111117893"/>
          <x14:colorLast theme="5" tint="-0.249977111117893"/>
          <x14:colorHigh theme="5" tint="-0.249977111117893"/>
          <x14:colorLow theme="5" tint="-0.249977111117893"/>
          <x14:sparklines>
            <x14:sparkline>
              <xm:f>'PRESUPUESTO PERSONAL Plantilla'!D6:O6</xm:f>
              <xm:sqref>Q6</xm:sqref>
            </x14:sparkline>
            <x14:sparkline>
              <xm:f>'PRESUPUESTO PERSONAL Plantilla'!D7:O7</xm:f>
              <xm:sqref>Q7</xm:sqref>
            </x14:sparkline>
            <x14:sparkline>
              <xm:f>'PRESUPUESTO PERSONAL Plantilla'!D8:O8</xm:f>
              <xm:sqref>Q8</xm:sqref>
            </x14:sparkline>
            <x14:sparkline>
              <xm:f>'PRESUPUESTO PERSONAL Plantilla'!D9:O9</xm:f>
              <xm:sqref>Q9</xm:sqref>
            </x14:sparkline>
            <x14:sparkline>
              <xm:f>'PRESUPUESTO PERSONAL Plantilla'!D10:O10</xm:f>
              <xm:sqref>Q10</xm:sqref>
            </x14:sparkline>
          </x14:sparklines>
        </x14:sparklineGroup>
        <x14:sparklineGroup displayEmptyCellsAs="gap" high="1" low="1" xr2:uid="{00000000-0003-0000-0200-000001000000}">
          <x14:colorSeries theme="0"/>
          <x14:colorNegative theme="5"/>
          <x14:colorAxis rgb="FF000000"/>
          <x14:colorMarkers theme="5" tint="-0.249977111117893"/>
          <x14:colorFirst theme="5" tint="-0.249977111117893"/>
          <x14:colorLast theme="5" tint="-0.249977111117893"/>
          <x14:colorHigh theme="5" tint="-0.249977111117893"/>
          <x14:colorLow theme="5" tint="-0.249977111117893"/>
          <x14:sparklines>
            <x14:sparkline>
              <xm:f>'PRESUPUESTO PERSONAL Plantilla'!D100:O100</xm:f>
              <xm:sqref>Q100</xm:sqref>
            </x14:sparkline>
            <x14:sparkline>
              <xm:f>'PRESUPUESTO PERSONAL Plantilla'!D101:O101</xm:f>
              <xm:sqref>Q101</xm:sqref>
            </x14:sparkline>
          </x14:sparklines>
        </x14:sparklineGroup>
        <x14:sparklineGroup displayEmptyCellsAs="gap" high="1" low="1" xr2:uid="{00000000-0003-0000-0200-000002000000}">
          <x14:colorSeries theme="4" tint="-0.249977111117893"/>
          <x14:colorNegative theme="5"/>
          <x14:colorAxis rgb="FF000000"/>
          <x14:colorMarkers theme="5" tint="-0.249977111117893"/>
          <x14:colorFirst theme="5" tint="-0.249977111117893"/>
          <x14:colorLast theme="5" tint="-0.249977111117893"/>
          <x14:colorHigh theme="5" tint="-0.249977111117893"/>
          <x14:colorLow theme="5" tint="-0.249977111117893"/>
          <x14:sparklines>
            <x14:sparkline>
              <xm:f>'PRESUPUESTO PERSONAL Plantilla'!D87:O87</xm:f>
              <xm:sqref>Q87</xm:sqref>
            </x14:sparkline>
            <x14:sparkline>
              <xm:f>'PRESUPUESTO PERSONAL Plantilla'!D88:O88</xm:f>
              <xm:sqref>Q88</xm:sqref>
            </x14:sparkline>
            <x14:sparkline>
              <xm:f>'PRESUPUESTO PERSONAL Plantilla'!D89:O89</xm:f>
              <xm:sqref>Q89</xm:sqref>
            </x14:sparkline>
            <x14:sparkline>
              <xm:f>'PRESUPUESTO PERSONAL Plantilla'!D90:O90</xm:f>
              <xm:sqref>Q90</xm:sqref>
            </x14:sparkline>
            <x14:sparkline>
              <xm:f>'PRESUPUESTO PERSONAL Plantilla'!D91:O91</xm:f>
              <xm:sqref>Q91</xm:sqref>
            </x14:sparkline>
            <x14:sparkline>
              <xm:f>'PRESUPUESTO PERSONAL Plantilla'!D92:O92</xm:f>
              <xm:sqref>Q92</xm:sqref>
            </x14:sparkline>
            <x14:sparkline>
              <xm:f>'PRESUPUESTO PERSONAL Plantilla'!D93:O93</xm:f>
              <xm:sqref>Q93</xm:sqref>
            </x14:sparkline>
          </x14:sparklines>
        </x14:sparklineGroup>
        <x14:sparklineGroup displayEmptyCellsAs="gap" high="1" low="1" xr2:uid="{00000000-0003-0000-0200-000003000000}">
          <x14:colorSeries theme="4" tint="-0.249977111117893"/>
          <x14:colorNegative theme="5"/>
          <x14:colorAxis rgb="FF000000"/>
          <x14:colorMarkers theme="5" tint="-0.249977111117893"/>
          <x14:colorFirst theme="5" tint="-0.249977111117893"/>
          <x14:colorLast theme="5" tint="-0.249977111117893"/>
          <x14:colorHigh theme="5" tint="-0.249977111117893"/>
          <x14:colorLow theme="5" tint="-0.249977111117893"/>
          <x14:sparklines>
            <x14:sparkline>
              <xm:f>'PRESUPUESTO PERSONAL Plantilla'!D83:O83</xm:f>
              <xm:sqref>Q83</xm:sqref>
            </x14:sparkline>
            <x14:sparkline>
              <xm:f>'PRESUPUESTO PERSONAL Plantilla'!D84:O84</xm:f>
              <xm:sqref>Q84</xm:sqref>
            </x14:sparkline>
          </x14:sparklines>
        </x14:sparklineGroup>
        <x14:sparklineGroup displayEmptyCellsAs="gap" high="1" low="1" xr2:uid="{00000000-0003-0000-0200-000004000000}">
          <x14:colorSeries theme="4" tint="-0.249977111117893"/>
          <x14:colorNegative theme="5"/>
          <x14:colorAxis rgb="FF000000"/>
          <x14:colorMarkers theme="5" tint="-0.249977111117893"/>
          <x14:colorFirst theme="5" tint="-0.249977111117893"/>
          <x14:colorLast theme="5" tint="-0.249977111117893"/>
          <x14:colorHigh theme="5" tint="-0.249977111117893"/>
          <x14:colorLow theme="5" tint="-0.249977111117893"/>
          <x14:sparklines>
            <x14:sparkline>
              <xm:f>'PRESUPUESTO PERSONAL Plantilla'!D79:O79</xm:f>
              <xm:sqref>Q79</xm:sqref>
            </x14:sparkline>
            <x14:sparkline>
              <xm:f>'PRESUPUESTO PERSONAL Plantilla'!D80:O80</xm:f>
              <xm:sqref>Q80</xm:sqref>
            </x14:sparkline>
          </x14:sparklines>
        </x14:sparklineGroup>
        <x14:sparklineGroup displayEmptyCellsAs="gap" high="1" low="1" xr2:uid="{00000000-0003-0000-0200-000005000000}">
          <x14:colorSeries theme="4" tint="-0.249977111117893"/>
          <x14:colorNegative theme="5"/>
          <x14:colorAxis rgb="FF000000"/>
          <x14:colorMarkers theme="5" tint="-0.249977111117893"/>
          <x14:colorFirst theme="5" tint="-0.249977111117893"/>
          <x14:colorLast theme="5" tint="-0.249977111117893"/>
          <x14:colorHigh theme="5" tint="-0.249977111117893"/>
          <x14:colorLow theme="5" tint="-0.249977111117893"/>
          <x14:sparklines>
            <x14:sparkline>
              <xm:f>'PRESUPUESTO PERSONAL Plantilla'!D75:O75</xm:f>
              <xm:sqref>Q75</xm:sqref>
            </x14:sparkline>
            <x14:sparkline>
              <xm:f>'PRESUPUESTO PERSONAL Plantilla'!D76:O76</xm:f>
              <xm:sqref>Q76</xm:sqref>
            </x14:sparkline>
          </x14:sparklines>
        </x14:sparklineGroup>
        <x14:sparklineGroup displayEmptyCellsAs="gap" high="1" low="1" xr2:uid="{00000000-0003-0000-0200-000006000000}">
          <x14:colorSeries theme="4" tint="-0.249977111117893"/>
          <x14:colorNegative theme="5"/>
          <x14:colorAxis rgb="FF000000"/>
          <x14:colorMarkers theme="5" tint="-0.249977111117893"/>
          <x14:colorFirst theme="5" tint="-0.249977111117893"/>
          <x14:colorLast theme="5" tint="-0.249977111117893"/>
          <x14:colorHigh theme="5" tint="-0.249977111117893"/>
          <x14:colorLow theme="5" tint="-0.249977111117893"/>
          <x14:sparklines>
            <x14:sparkline>
              <xm:f>'PRESUPUESTO PERSONAL Plantilla'!D71:O71</xm:f>
              <xm:sqref>Q71</xm:sqref>
            </x14:sparkline>
            <x14:sparkline>
              <xm:f>'PRESUPUESTO PERSONAL Plantilla'!D72:O72</xm:f>
              <xm:sqref>Q72</xm:sqref>
            </x14:sparkline>
          </x14:sparklines>
        </x14:sparklineGroup>
        <x14:sparklineGroup displayEmptyCellsAs="gap" high="1" low="1" xr2:uid="{00000000-0003-0000-0200-000007000000}">
          <x14:colorSeries theme="4" tint="-0.249977111117893"/>
          <x14:colorNegative theme="5"/>
          <x14:colorAxis rgb="FF000000"/>
          <x14:colorMarkers theme="5" tint="-0.249977111117893"/>
          <x14:colorFirst theme="5" tint="-0.249977111117893"/>
          <x14:colorLast theme="5" tint="-0.249977111117893"/>
          <x14:colorHigh theme="5" tint="-0.249977111117893"/>
          <x14:colorLow theme="5" tint="-0.249977111117893"/>
          <x14:sparklines>
            <x14:sparkline>
              <xm:f>'PRESUPUESTO PERSONAL Plantilla'!D60:O60</xm:f>
              <xm:sqref>Q60</xm:sqref>
            </x14:sparkline>
            <x14:sparkline>
              <xm:f>'PRESUPUESTO PERSONAL Plantilla'!D61:O61</xm:f>
              <xm:sqref>Q61</xm:sqref>
            </x14:sparkline>
            <x14:sparkline>
              <xm:f>'PRESUPUESTO PERSONAL Plantilla'!D62:O62</xm:f>
              <xm:sqref>Q62</xm:sqref>
            </x14:sparkline>
            <x14:sparkline>
              <xm:f>'PRESUPUESTO PERSONAL Plantilla'!D63:O63</xm:f>
              <xm:sqref>Q63</xm:sqref>
            </x14:sparkline>
            <x14:sparkline>
              <xm:f>'PRESUPUESTO PERSONAL Plantilla'!D64:O64</xm:f>
              <xm:sqref>Q64</xm:sqref>
            </x14:sparkline>
            <x14:sparkline>
              <xm:f>'PRESUPUESTO PERSONAL Plantilla'!D65:O65</xm:f>
              <xm:sqref>Q65</xm:sqref>
            </x14:sparkline>
            <x14:sparkline>
              <xm:f>'PRESUPUESTO PERSONAL Plantilla'!D66:O66</xm:f>
              <xm:sqref>Q66</xm:sqref>
            </x14:sparkline>
            <x14:sparkline>
              <xm:f>'PRESUPUESTO PERSONAL Plantilla'!D67:O67</xm:f>
              <xm:sqref>Q67</xm:sqref>
            </x14:sparkline>
            <x14:sparkline>
              <xm:f>'PRESUPUESTO PERSONAL Plantilla'!D68:O68</xm:f>
              <xm:sqref>Q68</xm:sqref>
            </x14:sparkline>
          </x14:sparklines>
        </x14:sparklineGroup>
        <x14:sparklineGroup displayEmptyCellsAs="gap" high="1" low="1" xr2:uid="{00000000-0003-0000-0200-000008000000}">
          <x14:colorSeries theme="4" tint="-0.249977111117893"/>
          <x14:colorNegative theme="5"/>
          <x14:colorAxis rgb="FF000000"/>
          <x14:colorMarkers theme="5" tint="-0.249977111117893"/>
          <x14:colorFirst theme="5" tint="-0.249977111117893"/>
          <x14:colorLast theme="5" tint="-0.249977111117893"/>
          <x14:colorHigh theme="5" tint="-0.249977111117893"/>
          <x14:colorLow theme="5" tint="-0.249977111117893"/>
          <x14:sparklines>
            <x14:sparkline>
              <xm:f>'PRESUPUESTO PERSONAL Plantilla'!D53:O53</xm:f>
              <xm:sqref>Q53</xm:sqref>
            </x14:sparkline>
            <x14:sparkline>
              <xm:f>'PRESUPUESTO PERSONAL Plantilla'!D54:O54</xm:f>
              <xm:sqref>Q54</xm:sqref>
            </x14:sparkline>
            <x14:sparkline>
              <xm:f>'PRESUPUESTO PERSONAL Plantilla'!D55:O55</xm:f>
              <xm:sqref>Q55</xm:sqref>
            </x14:sparkline>
            <x14:sparkline>
              <xm:f>'PRESUPUESTO PERSONAL Plantilla'!D56:O56</xm:f>
              <xm:sqref>Q56</xm:sqref>
            </x14:sparkline>
            <x14:sparkline>
              <xm:f>'PRESUPUESTO PERSONAL Plantilla'!D57:O57</xm:f>
              <xm:sqref>Q57</xm:sqref>
            </x14:sparkline>
          </x14:sparklines>
        </x14:sparklineGroup>
        <x14:sparklineGroup displayEmptyCellsAs="gap" high="1" low="1" xr2:uid="{00000000-0003-0000-0200-000009000000}">
          <x14:colorSeries theme="4" tint="-0.249977111117893"/>
          <x14:colorNegative theme="5"/>
          <x14:colorAxis rgb="FF000000"/>
          <x14:colorMarkers theme="5" tint="-0.249977111117893"/>
          <x14:colorFirst theme="5" tint="-0.249977111117893"/>
          <x14:colorLast theme="5" tint="-0.249977111117893"/>
          <x14:colorHigh theme="5" tint="-0.249977111117893"/>
          <x14:colorLow theme="5" tint="-0.249977111117893"/>
          <x14:sparklines>
            <x14:sparkline>
              <xm:f>'PRESUPUESTO PERSONAL Plantilla'!D45:O45</xm:f>
              <xm:sqref>Q45</xm:sqref>
            </x14:sparkline>
            <x14:sparkline>
              <xm:f>'PRESUPUESTO PERSONAL Plantilla'!D46:O46</xm:f>
              <xm:sqref>Q46</xm:sqref>
            </x14:sparkline>
            <x14:sparkline>
              <xm:f>'PRESUPUESTO PERSONAL Plantilla'!D47:O47</xm:f>
              <xm:sqref>Q47</xm:sqref>
            </x14:sparkline>
            <x14:sparkline>
              <xm:f>'PRESUPUESTO PERSONAL Plantilla'!D48:O48</xm:f>
              <xm:sqref>Q48</xm:sqref>
            </x14:sparkline>
            <x14:sparkline>
              <xm:f>'PRESUPUESTO PERSONAL Plantilla'!D49:O49</xm:f>
              <xm:sqref>Q49</xm:sqref>
            </x14:sparkline>
            <x14:sparkline>
              <xm:f>'PRESUPUESTO PERSONAL Plantilla'!D50:O50</xm:f>
              <xm:sqref>Q50</xm:sqref>
            </x14:sparkline>
          </x14:sparklines>
        </x14:sparklineGroup>
        <x14:sparklineGroup displayEmptyCellsAs="gap" high="1" low="1" xr2:uid="{00000000-0003-0000-0200-00000A000000}">
          <x14:colorSeries theme="4" tint="-0.249977111117893"/>
          <x14:colorNegative theme="5"/>
          <x14:colorAxis rgb="FF000000"/>
          <x14:colorMarkers theme="5" tint="-0.249977111117893"/>
          <x14:colorFirst theme="5" tint="-0.249977111117893"/>
          <x14:colorLast theme="5" tint="-0.249977111117893"/>
          <x14:colorHigh theme="5" tint="-0.249977111117893"/>
          <x14:colorLow theme="5" tint="-0.249977111117893"/>
          <x14:sparklines>
            <x14:sparkline>
              <xm:f>'PRESUPUESTO PERSONAL Plantilla'!D35:O35</xm:f>
              <xm:sqref>Q35</xm:sqref>
            </x14:sparkline>
            <x14:sparkline>
              <xm:f>'PRESUPUESTO PERSONAL Plantilla'!D36:O36</xm:f>
              <xm:sqref>Q36</xm:sqref>
            </x14:sparkline>
            <x14:sparkline>
              <xm:f>'PRESUPUESTO PERSONAL Plantilla'!D37:O37</xm:f>
              <xm:sqref>Q37</xm:sqref>
            </x14:sparkline>
            <x14:sparkline>
              <xm:f>'PRESUPUESTO PERSONAL Plantilla'!D38:O38</xm:f>
              <xm:sqref>Q38</xm:sqref>
            </x14:sparkline>
            <x14:sparkline>
              <xm:f>'PRESUPUESTO PERSONAL Plantilla'!D39:O39</xm:f>
              <xm:sqref>Q39</xm:sqref>
            </x14:sparkline>
            <x14:sparkline>
              <xm:f>'PRESUPUESTO PERSONAL Plantilla'!D40:O40</xm:f>
              <xm:sqref>Q40</xm:sqref>
            </x14:sparkline>
            <x14:sparkline>
              <xm:f>'PRESUPUESTO PERSONAL Plantilla'!D41:O41</xm:f>
              <xm:sqref>Q41</xm:sqref>
            </x14:sparkline>
            <x14:sparkline>
              <xm:f>'PRESUPUESTO PERSONAL Plantilla'!D42:O42</xm:f>
              <xm:sqref>Q42</xm:sqref>
            </x14:sparkline>
          </x14:sparklines>
        </x14:sparklineGroup>
        <x14:sparklineGroup displayEmptyCellsAs="gap" high="1" low="1" xr2:uid="{00000000-0003-0000-0200-00000D000000}">
          <x14:colorSeries theme="4" tint="-0.249977111117893"/>
          <x14:colorNegative theme="5"/>
          <x14:colorAxis rgb="FF000000"/>
          <x14:colorMarkers theme="5" tint="-0.249977111117893"/>
          <x14:colorFirst theme="5" tint="-0.249977111117893"/>
          <x14:colorLast theme="5" tint="-0.249977111117893"/>
          <x14:colorHigh theme="5" tint="-0.249977111117893"/>
          <x14:colorLow theme="5" tint="-0.249977111117893"/>
          <x14:sparklines>
            <x14:sparkline>
              <xm:f>'PRESUPUESTO PERSONAL Plantilla'!D14:O14</xm:f>
              <xm:sqref>Q14</xm:sqref>
            </x14:sparkline>
            <x14:sparkline>
              <xm:f>'PRESUPUESTO PERSONAL Plantilla'!D15:O15</xm:f>
              <xm:sqref>Q15</xm:sqref>
            </x14:sparkline>
            <x14:sparkline>
              <xm:f>'PRESUPUESTO PERSONAL Plantilla'!D16:O16</xm:f>
              <xm:sqref>Q16</xm:sqref>
            </x14:sparkline>
            <x14:sparkline>
              <xm:f>'PRESUPUESTO PERSONAL Plantilla'!D17:O17</xm:f>
              <xm:sqref>Q17</xm:sqref>
            </x14:sparkline>
            <x14:sparkline>
              <xm:f>'PRESUPUESTO PERSONAL Plantilla'!D18:O18</xm:f>
              <xm:sqref>Q18</xm:sqref>
            </x14:sparkline>
            <x14:sparkline>
              <xm:f>'PRESUPUESTO PERSONAL Plantilla'!D19:O19</xm:f>
              <xm:sqref>Q19</xm:sqref>
            </x14:sparkline>
            <x14:sparkline>
              <xm:f>'PRESUPUESTO PERSONAL Plantilla'!D20:O20</xm:f>
              <xm:sqref>Q20</xm:sqref>
            </x14:sparkline>
            <x14:sparkline>
              <xm:f>'PRESUPUESTO PERSONAL Plantilla'!D21:O21</xm:f>
              <xm:sqref>Q21</xm:sqref>
            </x14:sparkline>
            <x14:sparkline>
              <xm:f>'PRESUPUESTO PERSONAL Plantilla'!D22:O22</xm:f>
              <xm:sqref>Q22</xm:sqref>
            </x14:sparkline>
            <x14:sparkline>
              <xm:f>'PRESUPUESTO PERSONAL Plantilla'!D23:O23</xm:f>
              <xm:sqref>Q23</xm:sqref>
            </x14:sparkline>
            <x14:sparkline>
              <xm:f>'PRESUPUESTO PERSONAL Plantilla'!D24:O24</xm:f>
              <xm:sqref>Q24</xm:sqref>
            </x14:sparkline>
            <x14:sparkline>
              <xm:f>'PRESUPUESTO PERSONAL Plantilla'!D25:O25</xm:f>
              <xm:sqref>Q25</xm:sqref>
            </x14:sparkline>
            <x14:sparkline>
              <xm:f>'PRESUPUESTO PERSONAL Plantilla'!D26:O26</xm:f>
              <xm:sqref>Q26</xm:sqref>
            </x14:sparkline>
            <x14:sparkline>
              <xm:f>'PRESUPUESTO PERSONAL Plantilla'!D27:O27</xm:f>
              <xm:sqref>Q27</xm:sqref>
            </x14:sparkline>
            <x14:sparkline>
              <xm:f>'PRESUPUESTO PERSONAL Plantilla'!D28:O28</xm:f>
              <xm:sqref>Q28</xm:sqref>
            </x14:sparkline>
            <x14:sparkline>
              <xm:f>'PRESUPUESTO PERSONAL Plantilla'!D29:O29</xm:f>
              <xm:sqref>Q29</xm:sqref>
            </x14:sparkline>
            <x14:sparkline>
              <xm:f>'PRESUPUESTO PERSONAL Plantilla'!D30:O30</xm:f>
              <xm:sqref>Q30</xm:sqref>
            </x14:sparkline>
            <x14:sparkline>
              <xm:f>'PRESUPUESTO PERSONAL Plantilla'!D31:O31</xm:f>
              <xm:sqref>Q31</xm:sqref>
            </x14:sparkline>
            <x14:sparkline>
              <xm:f>'PRESUPUESTO PERSONAL Plantilla'!D32:O32</xm:f>
              <xm:sqref>Q32</xm:sqref>
            </x14:sparkline>
          </x14:sparklines>
        </x14:sparklineGroup>
      </x14:sparklineGroup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E9EF0-28E9-42B7-B0CF-6B5A8B30AE2A}">
  <sheetPr>
    <tabColor theme="4"/>
    <pageSetUpPr autoPageBreaks="0" fitToPage="1"/>
  </sheetPr>
  <dimension ref="A1:Q102"/>
  <sheetViews>
    <sheetView showGridLines="0" tabSelected="1" zoomScaleNormal="100" workbookViewId="0">
      <selection activeCell="B3" sqref="B3"/>
    </sheetView>
  </sheetViews>
  <sheetFormatPr defaultColWidth="9" defaultRowHeight="30" customHeight="1" x14ac:dyDescent="0.3"/>
  <cols>
    <col min="1" max="1" width="4.69140625" style="10" customWidth="1"/>
    <col min="2" max="2" width="1.921875" customWidth="1"/>
    <col min="3" max="3" width="46.23046875" bestFit="1" customWidth="1"/>
    <col min="4" max="15" width="12.3828125" style="1" customWidth="1"/>
    <col min="16" max="16" width="12.921875" style="1" bestFit="1" customWidth="1"/>
    <col min="17" max="17" width="15" bestFit="1" customWidth="1"/>
    <col min="18" max="18" width="2.61328125" customWidth="1"/>
  </cols>
  <sheetData>
    <row r="1" spans="1:17" ht="12.75" customHeight="1" x14ac:dyDescent="0.3">
      <c r="A1" s="10" t="s">
        <v>0</v>
      </c>
    </row>
    <row r="2" spans="1:17" ht="35.25" customHeight="1" thickBot="1" x14ac:dyDescent="1.05">
      <c r="A2" s="11" t="s">
        <v>1</v>
      </c>
      <c r="B2" s="16" t="s">
        <v>15</v>
      </c>
      <c r="C2" s="16"/>
      <c r="D2" s="16"/>
      <c r="E2" s="17"/>
      <c r="F2" s="17"/>
      <c r="G2" s="17"/>
      <c r="H2" s="17"/>
      <c r="I2" s="17"/>
      <c r="J2" s="17"/>
      <c r="K2" s="17"/>
      <c r="L2" s="17"/>
      <c r="M2" s="17"/>
      <c r="N2" s="17"/>
      <c r="O2" s="17"/>
      <c r="P2" s="17"/>
      <c r="Q2" s="9">
        <f ca="1">YEAR(TODAY())</f>
        <v>2025</v>
      </c>
    </row>
    <row r="3" spans="1:17" ht="26.25" customHeight="1" x14ac:dyDescent="0.3">
      <c r="E3" s="8"/>
    </row>
    <row r="4" spans="1:17" ht="21" customHeight="1" x14ac:dyDescent="0.3">
      <c r="A4" s="10" t="s">
        <v>2</v>
      </c>
      <c r="B4" s="2"/>
      <c r="C4" s="61" t="s">
        <v>58</v>
      </c>
      <c r="D4" s="27" t="s">
        <v>31</v>
      </c>
      <c r="E4" s="27" t="s">
        <v>33</v>
      </c>
      <c r="F4" s="27" t="s">
        <v>35</v>
      </c>
      <c r="G4" s="27" t="s">
        <v>37</v>
      </c>
      <c r="H4" s="27" t="s">
        <v>59</v>
      </c>
      <c r="I4" s="27" t="s">
        <v>40</v>
      </c>
      <c r="J4" s="27" t="s">
        <v>42</v>
      </c>
      <c r="K4" s="27" t="s">
        <v>44</v>
      </c>
      <c r="L4" s="27" t="s">
        <v>46</v>
      </c>
      <c r="M4" s="27" t="s">
        <v>48</v>
      </c>
      <c r="N4" s="27" t="s">
        <v>50</v>
      </c>
      <c r="O4" s="27" t="s">
        <v>52</v>
      </c>
      <c r="P4" s="27" t="s">
        <v>54</v>
      </c>
      <c r="Q4" s="27"/>
    </row>
    <row r="5" spans="1:17" ht="15.9" customHeight="1" x14ac:dyDescent="0.3">
      <c r="A5" s="11" t="s">
        <v>3</v>
      </c>
      <c r="B5" s="2"/>
      <c r="C5" s="62" t="s">
        <v>16</v>
      </c>
      <c r="D5" s="26" t="s">
        <v>65</v>
      </c>
      <c r="E5" s="26" t="s">
        <v>63</v>
      </c>
      <c r="F5" s="26" t="s">
        <v>64</v>
      </c>
      <c r="G5" s="26" t="s">
        <v>38</v>
      </c>
      <c r="H5" s="26" t="s">
        <v>39</v>
      </c>
      <c r="I5" s="26" t="s">
        <v>41</v>
      </c>
      <c r="J5" s="26" t="s">
        <v>43</v>
      </c>
      <c r="K5" s="26" t="s">
        <v>45</v>
      </c>
      <c r="L5" s="26" t="s">
        <v>47</v>
      </c>
      <c r="M5" s="26" t="s">
        <v>49</v>
      </c>
      <c r="N5" s="26" t="s">
        <v>51</v>
      </c>
      <c r="O5" s="26" t="s">
        <v>53</v>
      </c>
      <c r="P5" s="26" t="s">
        <v>55</v>
      </c>
      <c r="Q5" s="26" t="s">
        <v>56</v>
      </c>
    </row>
    <row r="6" spans="1:17" ht="15.9" customHeight="1" x14ac:dyDescent="0.3">
      <c r="B6" s="2"/>
      <c r="C6" s="63" t="s">
        <v>17</v>
      </c>
      <c r="D6" s="28">
        <v>28000</v>
      </c>
      <c r="E6" s="28">
        <v>28000</v>
      </c>
      <c r="F6" s="28">
        <v>28000</v>
      </c>
      <c r="G6" s="28">
        <v>28000</v>
      </c>
      <c r="H6" s="28">
        <v>28000</v>
      </c>
      <c r="I6" s="28">
        <v>28000</v>
      </c>
      <c r="J6" s="28">
        <v>28000</v>
      </c>
      <c r="K6" s="28">
        <v>28000</v>
      </c>
      <c r="L6" s="28">
        <v>28000</v>
      </c>
      <c r="M6" s="28">
        <v>28000</v>
      </c>
      <c r="N6" s="28">
        <v>28000</v>
      </c>
      <c r="O6" s="28">
        <v>28000</v>
      </c>
      <c r="P6" s="28">
        <f>SUM(Ingresos15[[#This Row],[14000]:[Diciembre]])</f>
        <v>336000</v>
      </c>
      <c r="Q6" s="29"/>
    </row>
    <row r="7" spans="1:17" ht="15.9" customHeight="1" x14ac:dyDescent="0.3">
      <c r="B7" s="2"/>
      <c r="C7" s="63" t="s">
        <v>18</v>
      </c>
      <c r="D7" s="28"/>
      <c r="E7" s="28"/>
      <c r="F7" s="28"/>
      <c r="G7" s="28"/>
      <c r="H7" s="28"/>
      <c r="I7" s="28"/>
      <c r="J7" s="28"/>
      <c r="K7" s="28"/>
      <c r="L7" s="28"/>
      <c r="M7" s="28"/>
      <c r="N7" s="28"/>
      <c r="O7" s="28"/>
      <c r="P7" s="28">
        <f>SUM(Ingresos15[[#This Row],[14000]:[Diciembre]])</f>
        <v>0</v>
      </c>
      <c r="Q7" s="30"/>
    </row>
    <row r="8" spans="1:17" ht="15.9" customHeight="1" x14ac:dyDescent="0.3">
      <c r="B8" s="2"/>
      <c r="C8" s="63" t="s">
        <v>19</v>
      </c>
      <c r="D8" s="28"/>
      <c r="E8" s="28"/>
      <c r="F8" s="28"/>
      <c r="G8" s="28"/>
      <c r="H8" s="28"/>
      <c r="I8" s="28"/>
      <c r="J8" s="28"/>
      <c r="K8" s="28"/>
      <c r="L8" s="28"/>
      <c r="M8" s="28"/>
      <c r="N8" s="28"/>
      <c r="O8" s="28"/>
      <c r="P8" s="28">
        <f>SUM(Ingresos15[[#This Row],[14000]:[Diciembre]])</f>
        <v>0</v>
      </c>
      <c r="Q8" s="29"/>
    </row>
    <row r="9" spans="1:17" ht="21" customHeight="1" x14ac:dyDescent="0.3">
      <c r="B9" s="2"/>
      <c r="C9" s="64" t="s">
        <v>110</v>
      </c>
      <c r="D9" s="28"/>
      <c r="E9" s="28"/>
      <c r="F9" s="28"/>
      <c r="G9" s="28"/>
      <c r="H9" s="28"/>
      <c r="I9" s="28"/>
      <c r="J9" s="28"/>
      <c r="K9" s="28"/>
      <c r="L9" s="28"/>
      <c r="M9" s="28"/>
      <c r="N9" s="28"/>
      <c r="O9" s="28"/>
      <c r="P9" s="28">
        <f>SUM(Ingresos15[[#This Row],[14000]:[Diciembre]])</f>
        <v>0</v>
      </c>
      <c r="Q9" s="29"/>
    </row>
    <row r="10" spans="1:17" ht="24" customHeight="1" thickBot="1" x14ac:dyDescent="0.35">
      <c r="B10" s="2"/>
      <c r="C10" s="65" t="s">
        <v>20</v>
      </c>
      <c r="D10" s="31">
        <f>SUBTOTAL(109,Ingresos15[14000])</f>
        <v>28000</v>
      </c>
      <c r="E10" s="31">
        <f>SUBTOTAL(109,Ingresos15[Columna2])</f>
        <v>28000</v>
      </c>
      <c r="F10" s="31">
        <f>SUBTOTAL(109,Ingresos15[Columna3])</f>
        <v>28000</v>
      </c>
      <c r="G10" s="31">
        <f>SUBTOTAL(109,Ingresos15[Abril])</f>
        <v>28000</v>
      </c>
      <c r="H10" s="31">
        <f>SUBTOTAL(109,Ingresos15[Mayo])</f>
        <v>28000</v>
      </c>
      <c r="I10" s="31">
        <f>SUBTOTAL(109,Ingresos15[Junio])</f>
        <v>28000</v>
      </c>
      <c r="J10" s="31">
        <f>SUBTOTAL(109,Ingresos15[Julio])</f>
        <v>28000</v>
      </c>
      <c r="K10" s="31">
        <f>SUBTOTAL(109,Ingresos15[Agosto])</f>
        <v>28000</v>
      </c>
      <c r="L10" s="31">
        <f>SUBTOTAL(109,Ingresos15[Septiembre])</f>
        <v>28000</v>
      </c>
      <c r="M10" s="31">
        <f>SUBTOTAL(109,Ingresos15[Octubre])</f>
        <v>28000</v>
      </c>
      <c r="N10" s="31">
        <f>SUBTOTAL(109,Ingresos15[Noviembre])</f>
        <v>28000</v>
      </c>
      <c r="O10" s="31">
        <f>SUBTOTAL(109,Ingresos15[Diciembre])</f>
        <v>28000</v>
      </c>
      <c r="P10" s="31">
        <f>SUBTOTAL(109,Ingresos15[Año])</f>
        <v>336000</v>
      </c>
      <c r="Q10" s="32"/>
    </row>
    <row r="11" spans="1:17" ht="21" customHeight="1" thickTop="1" x14ac:dyDescent="0.3">
      <c r="A11" s="10" t="s">
        <v>4</v>
      </c>
      <c r="B11" s="18"/>
      <c r="C11" s="66"/>
      <c r="D11" s="33"/>
      <c r="E11" s="33"/>
      <c r="F11" s="33"/>
      <c r="G11" s="33"/>
      <c r="H11" s="33"/>
      <c r="I11" s="33"/>
      <c r="J11" s="33"/>
      <c r="K11" s="33"/>
      <c r="L11" s="33"/>
      <c r="M11" s="33"/>
      <c r="N11" s="33"/>
      <c r="O11" s="33"/>
      <c r="P11" s="33"/>
      <c r="Q11" s="33"/>
    </row>
    <row r="12" spans="1:17" ht="15.9" customHeight="1" x14ac:dyDescent="0.3">
      <c r="A12" s="10" t="s">
        <v>5</v>
      </c>
      <c r="B12" s="3"/>
      <c r="C12" s="61" t="s">
        <v>21</v>
      </c>
      <c r="D12" s="27" t="s">
        <v>31</v>
      </c>
      <c r="E12" s="27" t="s">
        <v>33</v>
      </c>
      <c r="F12" s="27" t="s">
        <v>35</v>
      </c>
      <c r="G12" s="27" t="s">
        <v>37</v>
      </c>
      <c r="H12" s="27" t="s">
        <v>59</v>
      </c>
      <c r="I12" s="27" t="s">
        <v>40</v>
      </c>
      <c r="J12" s="27" t="s">
        <v>42</v>
      </c>
      <c r="K12" s="27" t="s">
        <v>44</v>
      </c>
      <c r="L12" s="27" t="s">
        <v>46</v>
      </c>
      <c r="M12" s="27" t="s">
        <v>48</v>
      </c>
      <c r="N12" s="27" t="s">
        <v>50</v>
      </c>
      <c r="O12" s="27" t="s">
        <v>52</v>
      </c>
      <c r="P12" s="27" t="s">
        <v>54</v>
      </c>
      <c r="Q12" s="27"/>
    </row>
    <row r="13" spans="1:17" ht="15.9" customHeight="1" x14ac:dyDescent="0.3">
      <c r="B13" s="3"/>
      <c r="C13" s="67" t="s">
        <v>22</v>
      </c>
      <c r="D13" s="26" t="s">
        <v>32</v>
      </c>
      <c r="E13" s="26" t="s">
        <v>34</v>
      </c>
      <c r="F13" s="26" t="s">
        <v>36</v>
      </c>
      <c r="G13" s="26" t="s">
        <v>38</v>
      </c>
      <c r="H13" s="26" t="s">
        <v>39</v>
      </c>
      <c r="I13" s="26" t="s">
        <v>41</v>
      </c>
      <c r="J13" s="26" t="s">
        <v>43</v>
      </c>
      <c r="K13" s="26" t="s">
        <v>45</v>
      </c>
      <c r="L13" s="26" t="s">
        <v>47</v>
      </c>
      <c r="M13" s="26" t="s">
        <v>49</v>
      </c>
      <c r="N13" s="26" t="s">
        <v>51</v>
      </c>
      <c r="O13" s="26" t="s">
        <v>53</v>
      </c>
      <c r="P13" s="26" t="s">
        <v>55</v>
      </c>
      <c r="Q13" s="26" t="s">
        <v>56</v>
      </c>
    </row>
    <row r="14" spans="1:17" ht="15.9" customHeight="1" x14ac:dyDescent="0.3">
      <c r="B14" s="3"/>
      <c r="C14" s="64" t="s">
        <v>112</v>
      </c>
      <c r="D14" s="34">
        <v>8500</v>
      </c>
      <c r="E14" s="34">
        <v>8500</v>
      </c>
      <c r="F14" s="34">
        <v>8500</v>
      </c>
      <c r="G14" s="34">
        <v>8500</v>
      </c>
      <c r="H14" s="34">
        <v>8500</v>
      </c>
      <c r="I14" s="34">
        <v>8500</v>
      </c>
      <c r="J14" s="34">
        <v>8500</v>
      </c>
      <c r="K14" s="34">
        <v>8500</v>
      </c>
      <c r="L14" s="34">
        <v>8500</v>
      </c>
      <c r="M14" s="34">
        <v>8500</v>
      </c>
      <c r="N14" s="34">
        <v>8500</v>
      </c>
      <c r="O14" s="34">
        <v>8500</v>
      </c>
      <c r="P14" s="35">
        <f>SUM(Hogar16[[#This Row],[Enero]:[Diciembre]])</f>
        <v>102000</v>
      </c>
      <c r="Q14" s="26"/>
    </row>
    <row r="15" spans="1:17" ht="15.9" customHeight="1" x14ac:dyDescent="0.3">
      <c r="B15" s="3"/>
      <c r="C15" s="64" t="s">
        <v>113</v>
      </c>
      <c r="D15" s="34">
        <v>1800</v>
      </c>
      <c r="E15" s="34">
        <v>1800</v>
      </c>
      <c r="F15" s="34">
        <v>1800</v>
      </c>
      <c r="G15" s="34">
        <v>1800</v>
      </c>
      <c r="H15" s="34">
        <v>1800</v>
      </c>
      <c r="I15" s="34">
        <v>1800</v>
      </c>
      <c r="J15" s="34">
        <v>1800</v>
      </c>
      <c r="K15" s="34">
        <v>1800</v>
      </c>
      <c r="L15" s="34">
        <v>1800</v>
      </c>
      <c r="M15" s="34">
        <v>1800</v>
      </c>
      <c r="N15" s="34">
        <v>1800</v>
      </c>
      <c r="O15" s="34">
        <v>1800</v>
      </c>
      <c r="P15" s="35">
        <f>SUM(Hogar16[[#This Row],[Enero]:[Diciembre]])</f>
        <v>21600</v>
      </c>
      <c r="Q15" s="26"/>
    </row>
    <row r="16" spans="1:17" ht="15.9" customHeight="1" x14ac:dyDescent="0.3">
      <c r="B16" s="3"/>
      <c r="C16" s="64" t="s">
        <v>114</v>
      </c>
      <c r="D16" s="34">
        <v>750</v>
      </c>
      <c r="E16" s="34">
        <v>750</v>
      </c>
      <c r="F16" s="34">
        <v>750</v>
      </c>
      <c r="G16" s="34">
        <v>750</v>
      </c>
      <c r="H16" s="34">
        <v>750</v>
      </c>
      <c r="I16" s="34">
        <v>750</v>
      </c>
      <c r="J16" s="34">
        <v>750</v>
      </c>
      <c r="K16" s="34">
        <v>750</v>
      </c>
      <c r="L16" s="34">
        <v>750</v>
      </c>
      <c r="M16" s="34">
        <v>750</v>
      </c>
      <c r="N16" s="34">
        <v>750</v>
      </c>
      <c r="O16" s="34">
        <v>750</v>
      </c>
      <c r="P16" s="35">
        <f>SUM(Hogar16[[#This Row],[Enero]:[Diciembre]])</f>
        <v>9000</v>
      </c>
      <c r="Q16" s="26"/>
    </row>
    <row r="17" spans="1:17" ht="15.9" customHeight="1" x14ac:dyDescent="0.3">
      <c r="B17" s="3"/>
      <c r="C17" s="64" t="s">
        <v>115</v>
      </c>
      <c r="D17" s="34">
        <v>600</v>
      </c>
      <c r="E17" s="34">
        <v>600</v>
      </c>
      <c r="F17" s="34">
        <v>600</v>
      </c>
      <c r="G17" s="34">
        <v>600</v>
      </c>
      <c r="H17" s="34">
        <v>600</v>
      </c>
      <c r="I17" s="34">
        <v>600</v>
      </c>
      <c r="J17" s="34">
        <v>600</v>
      </c>
      <c r="K17" s="34">
        <v>600</v>
      </c>
      <c r="L17" s="34">
        <v>600</v>
      </c>
      <c r="M17" s="34">
        <v>600</v>
      </c>
      <c r="N17" s="34">
        <v>600</v>
      </c>
      <c r="O17" s="34">
        <v>600</v>
      </c>
      <c r="P17" s="35">
        <f>SUM(Hogar16[[#This Row],[Enero]:[Diciembre]])</f>
        <v>7200</v>
      </c>
      <c r="Q17" s="26"/>
    </row>
    <row r="18" spans="1:17" ht="15.9" customHeight="1" x14ac:dyDescent="0.3">
      <c r="B18" s="3"/>
      <c r="C18" s="64" t="s">
        <v>116</v>
      </c>
      <c r="D18" s="34">
        <v>2200</v>
      </c>
      <c r="E18" s="34">
        <v>2200</v>
      </c>
      <c r="F18" s="34">
        <v>2200</v>
      </c>
      <c r="G18" s="34">
        <v>2200</v>
      </c>
      <c r="H18" s="34">
        <v>2200</v>
      </c>
      <c r="I18" s="34">
        <v>2200</v>
      </c>
      <c r="J18" s="34">
        <v>2200</v>
      </c>
      <c r="K18" s="34">
        <v>2200</v>
      </c>
      <c r="L18" s="34">
        <v>2200</v>
      </c>
      <c r="M18" s="34">
        <v>2200</v>
      </c>
      <c r="N18" s="34">
        <v>2200</v>
      </c>
      <c r="O18" s="34">
        <v>2200</v>
      </c>
      <c r="P18" s="35">
        <f>SUM(Hogar16[[#This Row],[Enero]:[Diciembre]])</f>
        <v>26400</v>
      </c>
      <c r="Q18" s="26"/>
    </row>
    <row r="19" spans="1:17" ht="15.9" customHeight="1" x14ac:dyDescent="0.3">
      <c r="B19" s="3"/>
      <c r="C19" s="64" t="s">
        <v>117</v>
      </c>
      <c r="D19" s="34">
        <v>450</v>
      </c>
      <c r="E19" s="34">
        <v>450</v>
      </c>
      <c r="F19" s="34">
        <v>450</v>
      </c>
      <c r="G19" s="34">
        <v>450</v>
      </c>
      <c r="H19" s="34">
        <v>450</v>
      </c>
      <c r="I19" s="34">
        <v>450</v>
      </c>
      <c r="J19" s="34">
        <v>450</v>
      </c>
      <c r="K19" s="34">
        <v>450</v>
      </c>
      <c r="L19" s="34">
        <v>450</v>
      </c>
      <c r="M19" s="34">
        <v>450</v>
      </c>
      <c r="N19" s="34">
        <v>450</v>
      </c>
      <c r="O19" s="34">
        <v>450</v>
      </c>
      <c r="P19" s="35">
        <f>SUM(Hogar16[[#This Row],[Enero]:[Diciembre]])</f>
        <v>5400</v>
      </c>
      <c r="Q19" s="26"/>
    </row>
    <row r="20" spans="1:17" ht="15.9" customHeight="1" x14ac:dyDescent="0.3">
      <c r="B20" s="3"/>
      <c r="C20" s="64" t="s">
        <v>118</v>
      </c>
      <c r="D20" s="34">
        <v>1500</v>
      </c>
      <c r="E20" s="34">
        <v>1500</v>
      </c>
      <c r="F20" s="34">
        <v>1500</v>
      </c>
      <c r="G20" s="34">
        <v>1500</v>
      </c>
      <c r="H20" s="34">
        <v>1500</v>
      </c>
      <c r="I20" s="34">
        <v>1500</v>
      </c>
      <c r="J20" s="34">
        <v>1500</v>
      </c>
      <c r="K20" s="34">
        <v>1500</v>
      </c>
      <c r="L20" s="34">
        <v>1500</v>
      </c>
      <c r="M20" s="34">
        <v>1500</v>
      </c>
      <c r="N20" s="34">
        <v>1500</v>
      </c>
      <c r="O20" s="34">
        <v>1500</v>
      </c>
      <c r="P20" s="35">
        <f>SUM(Hogar16[[#This Row],[Enero]:[Diciembre]])</f>
        <v>18000</v>
      </c>
      <c r="Q20" s="26"/>
    </row>
    <row r="21" spans="1:17" ht="15.9" customHeight="1" x14ac:dyDescent="0.3">
      <c r="B21" s="3"/>
      <c r="C21" s="64" t="s">
        <v>110</v>
      </c>
      <c r="D21" s="34"/>
      <c r="E21" s="34"/>
      <c r="F21" s="34"/>
      <c r="G21" s="34"/>
      <c r="H21" s="34"/>
      <c r="I21" s="34"/>
      <c r="J21" s="34"/>
      <c r="K21" s="34"/>
      <c r="L21" s="34"/>
      <c r="M21" s="34"/>
      <c r="N21" s="34"/>
      <c r="O21" s="34"/>
      <c r="P21" s="35">
        <f>SUM(Hogar16[[#This Row],[Enero]:[Diciembre]])</f>
        <v>0</v>
      </c>
      <c r="Q21" s="26"/>
    </row>
    <row r="22" spans="1:17" ht="15.9" hidden="1" customHeight="1" x14ac:dyDescent="0.3">
      <c r="B22" s="3"/>
      <c r="C22" s="64"/>
      <c r="D22" s="34"/>
      <c r="E22" s="34"/>
      <c r="F22" s="34"/>
      <c r="G22" s="34"/>
      <c r="H22" s="34"/>
      <c r="I22" s="34"/>
      <c r="J22" s="34"/>
      <c r="K22" s="34"/>
      <c r="L22" s="34"/>
      <c r="M22" s="34"/>
      <c r="N22" s="34"/>
      <c r="O22" s="34"/>
      <c r="P22" s="35">
        <f>SUM(Hogar16[[#This Row],[Enero]:[Diciembre]])</f>
        <v>0</v>
      </c>
      <c r="Q22" s="26"/>
    </row>
    <row r="23" spans="1:17" ht="15.9" hidden="1" customHeight="1" x14ac:dyDescent="0.3">
      <c r="B23" s="3"/>
      <c r="C23" s="64"/>
      <c r="D23" s="34"/>
      <c r="E23" s="34"/>
      <c r="F23" s="34"/>
      <c r="G23" s="34"/>
      <c r="H23" s="34"/>
      <c r="I23" s="34"/>
      <c r="J23" s="34"/>
      <c r="K23" s="34"/>
      <c r="L23" s="34"/>
      <c r="M23" s="34"/>
      <c r="N23" s="34"/>
      <c r="O23" s="34"/>
      <c r="P23" s="35">
        <f>SUM(Hogar16[[#This Row],[Enero]:[Diciembre]])</f>
        <v>0</v>
      </c>
      <c r="Q23" s="26"/>
    </row>
    <row r="24" spans="1:17" ht="15.9" hidden="1" customHeight="1" x14ac:dyDescent="0.3">
      <c r="B24" s="3"/>
      <c r="C24" s="64"/>
      <c r="D24" s="34"/>
      <c r="E24" s="34"/>
      <c r="F24" s="34"/>
      <c r="G24" s="34"/>
      <c r="H24" s="34"/>
      <c r="I24" s="34"/>
      <c r="J24" s="34"/>
      <c r="K24" s="34"/>
      <c r="L24" s="34"/>
      <c r="M24" s="34"/>
      <c r="N24" s="34"/>
      <c r="O24" s="34"/>
      <c r="P24" s="35">
        <f>SUM(Hogar16[[#This Row],[Enero]:[Diciembre]])</f>
        <v>0</v>
      </c>
      <c r="Q24" s="26"/>
    </row>
    <row r="25" spans="1:17" ht="15.9" hidden="1" customHeight="1" x14ac:dyDescent="0.3">
      <c r="B25" s="3"/>
      <c r="C25" s="64"/>
      <c r="D25" s="34"/>
      <c r="E25" s="34"/>
      <c r="F25" s="34"/>
      <c r="G25" s="34"/>
      <c r="H25" s="34"/>
      <c r="I25" s="34"/>
      <c r="J25" s="34"/>
      <c r="K25" s="34"/>
      <c r="L25" s="34"/>
      <c r="M25" s="34"/>
      <c r="N25" s="34"/>
      <c r="O25" s="34"/>
      <c r="P25" s="35">
        <f>SUM(Hogar16[[#This Row],[Enero]:[Diciembre]])</f>
        <v>0</v>
      </c>
      <c r="Q25" s="26"/>
    </row>
    <row r="26" spans="1:17" ht="15.9" hidden="1" customHeight="1" x14ac:dyDescent="0.3">
      <c r="B26" s="3"/>
      <c r="C26" s="64"/>
      <c r="D26" s="34"/>
      <c r="E26" s="34"/>
      <c r="F26" s="34"/>
      <c r="G26" s="34"/>
      <c r="H26" s="34"/>
      <c r="I26" s="34"/>
      <c r="J26" s="34"/>
      <c r="K26" s="34"/>
      <c r="L26" s="34"/>
      <c r="M26" s="34"/>
      <c r="N26" s="34"/>
      <c r="O26" s="34"/>
      <c r="P26" s="35">
        <f>SUM(Hogar16[[#This Row],[Enero]:[Diciembre]])</f>
        <v>0</v>
      </c>
      <c r="Q26" s="26"/>
    </row>
    <row r="27" spans="1:17" ht="15.9" hidden="1" customHeight="1" x14ac:dyDescent="0.3">
      <c r="B27" s="3"/>
      <c r="C27" s="64"/>
      <c r="D27" s="34"/>
      <c r="E27" s="34"/>
      <c r="F27" s="34"/>
      <c r="G27" s="34"/>
      <c r="H27" s="34"/>
      <c r="I27" s="34"/>
      <c r="J27" s="34"/>
      <c r="K27" s="34"/>
      <c r="L27" s="34"/>
      <c r="M27" s="34"/>
      <c r="N27" s="34"/>
      <c r="O27" s="34"/>
      <c r="P27" s="35">
        <f>SUM(Hogar16[[#This Row],[Enero]:[Diciembre]])</f>
        <v>0</v>
      </c>
      <c r="Q27" s="26"/>
    </row>
    <row r="28" spans="1:17" ht="15.9" hidden="1" customHeight="1" x14ac:dyDescent="0.3">
      <c r="B28" s="3"/>
      <c r="C28" s="64"/>
      <c r="D28" s="34"/>
      <c r="E28" s="34"/>
      <c r="F28" s="34"/>
      <c r="G28" s="34"/>
      <c r="H28" s="34"/>
      <c r="I28" s="34"/>
      <c r="J28" s="34"/>
      <c r="K28" s="34"/>
      <c r="L28" s="34"/>
      <c r="M28" s="34"/>
      <c r="N28" s="34"/>
      <c r="O28" s="34"/>
      <c r="P28" s="35">
        <f>SUM(Hogar16[[#This Row],[Enero]:[Diciembre]])</f>
        <v>0</v>
      </c>
      <c r="Q28" s="26"/>
    </row>
    <row r="29" spans="1:17" ht="15.9" hidden="1" customHeight="1" x14ac:dyDescent="0.3">
      <c r="B29" s="3"/>
      <c r="C29" s="64"/>
      <c r="D29" s="34"/>
      <c r="E29" s="34"/>
      <c r="F29" s="34"/>
      <c r="G29" s="34"/>
      <c r="H29" s="34"/>
      <c r="I29" s="34"/>
      <c r="J29" s="34"/>
      <c r="K29" s="34"/>
      <c r="L29" s="34"/>
      <c r="M29" s="34"/>
      <c r="N29" s="34"/>
      <c r="O29" s="34"/>
      <c r="P29" s="35">
        <f>SUM(Hogar16[[#This Row],[Enero]:[Diciembre]])</f>
        <v>0</v>
      </c>
      <c r="Q29" s="26"/>
    </row>
    <row r="30" spans="1:17" ht="15.9" hidden="1" customHeight="1" x14ac:dyDescent="0.3">
      <c r="B30" s="3"/>
      <c r="C30" s="64"/>
      <c r="D30" s="34"/>
      <c r="E30" s="34"/>
      <c r="F30" s="34"/>
      <c r="G30" s="34"/>
      <c r="H30" s="34"/>
      <c r="I30" s="34"/>
      <c r="J30" s="34"/>
      <c r="K30" s="34"/>
      <c r="L30" s="34"/>
      <c r="M30" s="34"/>
      <c r="N30" s="34"/>
      <c r="O30" s="34"/>
      <c r="P30" s="35"/>
      <c r="Q30" s="26"/>
    </row>
    <row r="31" spans="1:17" ht="21" hidden="1" customHeight="1" x14ac:dyDescent="0.3">
      <c r="A31" s="12"/>
      <c r="B31" s="3"/>
      <c r="C31" s="64"/>
      <c r="D31" s="34"/>
      <c r="E31" s="34"/>
      <c r="F31" s="34"/>
      <c r="G31" s="34"/>
      <c r="H31" s="34"/>
      <c r="I31" s="34"/>
      <c r="J31" s="34"/>
      <c r="K31" s="34"/>
      <c r="L31" s="34"/>
      <c r="M31" s="34"/>
      <c r="N31" s="34"/>
      <c r="O31" s="34"/>
      <c r="P31" s="35">
        <f>SUM(Hogar16[[#This Row],[Enero]:[Diciembre]])</f>
        <v>0</v>
      </c>
      <c r="Q31" s="26"/>
    </row>
    <row r="32" spans="1:17" ht="24" customHeight="1" thickBot="1" x14ac:dyDescent="0.35">
      <c r="B32" s="3"/>
      <c r="C32" s="68" t="s">
        <v>20</v>
      </c>
      <c r="D32" s="36">
        <f>SUBTOTAL(109,Hogar16[Enero])</f>
        <v>15800</v>
      </c>
      <c r="E32" s="36">
        <f>SUBTOTAL(109,Hogar16[Febrero])</f>
        <v>15800</v>
      </c>
      <c r="F32" s="36">
        <f>SUBTOTAL(109,Hogar16[Marzo])</f>
        <v>15800</v>
      </c>
      <c r="G32" s="36">
        <f>SUBTOTAL(109,Hogar16[Abril])</f>
        <v>15800</v>
      </c>
      <c r="H32" s="36">
        <f>SUBTOTAL(109,Hogar16[Mayo])</f>
        <v>15800</v>
      </c>
      <c r="I32" s="36">
        <f>SUBTOTAL(109,Hogar16[Junio])</f>
        <v>15800</v>
      </c>
      <c r="J32" s="36">
        <f>SUBTOTAL(109,Hogar16[Julio])</f>
        <v>15800</v>
      </c>
      <c r="K32" s="36">
        <f>SUBTOTAL(109,Hogar16[Agosto])</f>
        <v>15800</v>
      </c>
      <c r="L32" s="36">
        <f>SUBTOTAL(109,Hogar16[Septiembre])</f>
        <v>15800</v>
      </c>
      <c r="M32" s="36">
        <f>SUBTOTAL(109,Hogar16[Octubre])</f>
        <v>15800</v>
      </c>
      <c r="N32" s="36">
        <f>SUBTOTAL(109,Hogar16[Noviembre])</f>
        <v>15800</v>
      </c>
      <c r="O32" s="36">
        <f>SUBTOTAL(109,Hogar16[Diciembre])</f>
        <v>15800</v>
      </c>
      <c r="P32" s="36">
        <f>SUBTOTAL(109,Hogar16[Año])</f>
        <v>189600</v>
      </c>
      <c r="Q32" s="37"/>
    </row>
    <row r="33" spans="1:17" ht="15.9" customHeight="1" thickTop="1" x14ac:dyDescent="0.3">
      <c r="A33" s="10" t="s">
        <v>6</v>
      </c>
      <c r="B33" s="19"/>
      <c r="C33" s="38"/>
      <c r="D33" s="33"/>
      <c r="E33" s="33"/>
      <c r="F33" s="33"/>
      <c r="G33" s="33"/>
      <c r="H33" s="33"/>
      <c r="I33" s="33"/>
      <c r="J33" s="33"/>
      <c r="K33" s="33"/>
      <c r="L33" s="33"/>
      <c r="M33" s="33"/>
      <c r="N33" s="33"/>
      <c r="O33" s="33"/>
      <c r="P33" s="33"/>
      <c r="Q33" s="33"/>
    </row>
    <row r="34" spans="1:17" ht="15.9" customHeight="1" x14ac:dyDescent="0.3">
      <c r="B34" s="19"/>
      <c r="C34" s="69" t="s">
        <v>74</v>
      </c>
      <c r="D34" s="20" t="s">
        <v>31</v>
      </c>
      <c r="E34" s="21" t="s">
        <v>33</v>
      </c>
      <c r="F34" s="20" t="s">
        <v>35</v>
      </c>
      <c r="G34" s="21" t="s">
        <v>37</v>
      </c>
      <c r="H34" s="20" t="s">
        <v>59</v>
      </c>
      <c r="I34" s="21" t="s">
        <v>40</v>
      </c>
      <c r="J34" s="20" t="s">
        <v>42</v>
      </c>
      <c r="K34" s="21" t="s">
        <v>44</v>
      </c>
      <c r="L34" s="20" t="s">
        <v>46</v>
      </c>
      <c r="M34" s="21" t="s">
        <v>48</v>
      </c>
      <c r="N34" s="20" t="s">
        <v>50</v>
      </c>
      <c r="O34" s="21" t="s">
        <v>52</v>
      </c>
      <c r="P34" s="20" t="s">
        <v>54</v>
      </c>
      <c r="Q34" s="26" t="s">
        <v>56</v>
      </c>
    </row>
    <row r="35" spans="1:17" ht="15.9" customHeight="1" x14ac:dyDescent="0.3">
      <c r="B35" s="19"/>
      <c r="C35" s="70" t="s">
        <v>75</v>
      </c>
      <c r="D35" s="22"/>
      <c r="E35" s="23"/>
      <c r="F35" s="22"/>
      <c r="G35" s="23"/>
      <c r="H35" s="22"/>
      <c r="I35" s="23"/>
      <c r="J35" s="22"/>
      <c r="K35" s="23"/>
      <c r="L35" s="22"/>
      <c r="M35" s="23"/>
      <c r="N35" s="22"/>
      <c r="O35" s="23"/>
      <c r="P35" s="39">
        <f>SUM(Diario17[[#This Row],[ENE]:[DIC]])</f>
        <v>0</v>
      </c>
      <c r="Q35" s="30"/>
    </row>
    <row r="36" spans="1:17" ht="15.9" customHeight="1" x14ac:dyDescent="0.3">
      <c r="B36" s="19"/>
      <c r="C36" s="70" t="s">
        <v>76</v>
      </c>
      <c r="D36" s="22"/>
      <c r="E36" s="23"/>
      <c r="F36" s="22"/>
      <c r="G36" s="23"/>
      <c r="H36" s="22"/>
      <c r="I36" s="23"/>
      <c r="J36" s="22"/>
      <c r="K36" s="23"/>
      <c r="L36" s="22"/>
      <c r="M36" s="23"/>
      <c r="N36" s="22"/>
      <c r="O36" s="23"/>
      <c r="P36" s="39">
        <f>SUM(Diario17[[#This Row],[ENE]:[DIC]])</f>
        <v>0</v>
      </c>
      <c r="Q36" s="30"/>
    </row>
    <row r="37" spans="1:17" ht="15.9" customHeight="1" x14ac:dyDescent="0.3">
      <c r="B37" s="19"/>
      <c r="C37" s="70" t="s">
        <v>77</v>
      </c>
      <c r="D37" s="22"/>
      <c r="E37" s="23"/>
      <c r="F37" s="22"/>
      <c r="G37" s="23"/>
      <c r="H37" s="22"/>
      <c r="I37" s="23"/>
      <c r="J37" s="22"/>
      <c r="K37" s="23"/>
      <c r="L37" s="22"/>
      <c r="M37" s="23"/>
      <c r="N37" s="22"/>
      <c r="O37" s="23"/>
      <c r="P37" s="39">
        <f>SUM(Diario17[[#This Row],[ENE]:[DIC]])</f>
        <v>0</v>
      </c>
      <c r="Q37" s="30"/>
    </row>
    <row r="38" spans="1:17" ht="15.9" customHeight="1" x14ac:dyDescent="0.3">
      <c r="B38" s="19"/>
      <c r="C38" s="70" t="s">
        <v>78</v>
      </c>
      <c r="D38" s="22"/>
      <c r="E38" s="23"/>
      <c r="F38" s="22"/>
      <c r="G38" s="23"/>
      <c r="H38" s="22"/>
      <c r="I38" s="23"/>
      <c r="J38" s="22"/>
      <c r="K38" s="23"/>
      <c r="L38" s="22"/>
      <c r="M38" s="23"/>
      <c r="N38" s="22"/>
      <c r="O38" s="23"/>
      <c r="P38" s="39">
        <f>SUM(Diario17[[#This Row],[ENE]:[DIC]])</f>
        <v>0</v>
      </c>
      <c r="Q38" s="30"/>
    </row>
    <row r="39" spans="1:17" ht="15.9" customHeight="1" x14ac:dyDescent="0.3">
      <c r="A39" s="12"/>
      <c r="B39" s="19"/>
      <c r="C39" s="70" t="s">
        <v>79</v>
      </c>
      <c r="D39" s="22"/>
      <c r="E39" s="23"/>
      <c r="F39" s="22"/>
      <c r="G39" s="23"/>
      <c r="H39" s="22"/>
      <c r="I39" s="23"/>
      <c r="J39" s="22"/>
      <c r="K39" s="23"/>
      <c r="L39" s="22"/>
      <c r="M39" s="23"/>
      <c r="N39" s="22"/>
      <c r="O39" s="23"/>
      <c r="P39" s="39">
        <f>SUM(Diario17[[#This Row],[ENE]:[DIC]])</f>
        <v>0</v>
      </c>
      <c r="Q39" s="30"/>
    </row>
    <row r="40" spans="1:17" ht="21" customHeight="1" x14ac:dyDescent="0.3">
      <c r="B40" s="19"/>
      <c r="C40" s="70" t="s">
        <v>90</v>
      </c>
      <c r="D40" s="22"/>
      <c r="E40" s="23"/>
      <c r="F40" s="22"/>
      <c r="G40" s="23"/>
      <c r="H40" s="22"/>
      <c r="I40" s="23"/>
      <c r="J40" s="22"/>
      <c r="K40" s="23"/>
      <c r="L40" s="22"/>
      <c r="M40" s="23"/>
      <c r="N40" s="22"/>
      <c r="O40" s="23"/>
      <c r="P40" s="39">
        <f>SUM(Diario17[[#This Row],[ENE]:[DIC]])</f>
        <v>0</v>
      </c>
      <c r="Q40" s="30"/>
    </row>
    <row r="41" spans="1:17" ht="20.149999999999999" customHeight="1" x14ac:dyDescent="0.3">
      <c r="B41" s="19"/>
      <c r="C41" s="70" t="s">
        <v>110</v>
      </c>
      <c r="D41" s="22"/>
      <c r="E41" s="23"/>
      <c r="F41" s="22"/>
      <c r="G41" s="23"/>
      <c r="H41" s="22"/>
      <c r="I41" s="23"/>
      <c r="J41" s="22"/>
      <c r="K41" s="23"/>
      <c r="L41" s="22"/>
      <c r="M41" s="23"/>
      <c r="N41" s="22"/>
      <c r="O41" s="23"/>
      <c r="P41" s="39">
        <f>SUM(Diario17[[#This Row],[ENE]:[DIC]])</f>
        <v>0</v>
      </c>
      <c r="Q41" s="30"/>
    </row>
    <row r="42" spans="1:17" ht="15.9" customHeight="1" x14ac:dyDescent="0.3">
      <c r="A42" s="11"/>
      <c r="B42" s="19"/>
      <c r="C42" s="71" t="s">
        <v>20</v>
      </c>
      <c r="D42" s="40">
        <f>SUBTOTAL(109,Diario17[ENE])</f>
        <v>0</v>
      </c>
      <c r="E42" s="41">
        <f>SUBTOTAL(109,Diario17[FEB])</f>
        <v>0</v>
      </c>
      <c r="F42" s="40">
        <f>SUBTOTAL(109,Diario17[MAR])</f>
        <v>0</v>
      </c>
      <c r="G42" s="41">
        <f>SUBTOTAL(109,Diario17[ABR])</f>
        <v>0</v>
      </c>
      <c r="H42" s="40">
        <f>SUBTOTAL(109,Diario17[MAY])</f>
        <v>0</v>
      </c>
      <c r="I42" s="41">
        <f>SUBTOTAL(109,Diario17[JUN])</f>
        <v>0</v>
      </c>
      <c r="J42" s="40">
        <f>SUBTOTAL(109,Diario17[JUL])</f>
        <v>0</v>
      </c>
      <c r="K42" s="41">
        <f>SUBTOTAL(109,Diario17[AGO])</f>
        <v>0</v>
      </c>
      <c r="L42" s="40">
        <f>SUBTOTAL(109,Diario17[SEP])</f>
        <v>0</v>
      </c>
      <c r="M42" s="41">
        <f>SUBTOTAL(109,Diario17[OCT])</f>
        <v>0</v>
      </c>
      <c r="N42" s="40">
        <f>SUBTOTAL(109,Diario17[NOV])</f>
        <v>0</v>
      </c>
      <c r="O42" s="41">
        <f>SUBTOTAL(109,Diario17[DIC])</f>
        <v>0</v>
      </c>
      <c r="P42" s="40">
        <f>SUBTOTAL(109,Diario17[AÑO])</f>
        <v>0</v>
      </c>
      <c r="Q42" s="42"/>
    </row>
    <row r="43" spans="1:17" ht="15.9" customHeight="1" x14ac:dyDescent="0.3">
      <c r="A43" s="10" t="s">
        <v>7</v>
      </c>
      <c r="B43" s="19"/>
      <c r="C43" s="43"/>
      <c r="D43" s="43"/>
      <c r="E43" s="43"/>
      <c r="F43" s="43"/>
      <c r="G43" s="43"/>
      <c r="H43" s="43"/>
      <c r="I43" s="43"/>
      <c r="J43" s="43"/>
      <c r="K43" s="43"/>
      <c r="L43" s="43"/>
      <c r="M43" s="43"/>
      <c r="N43" s="43"/>
      <c r="O43" s="43"/>
      <c r="P43" s="43"/>
      <c r="Q43" s="43"/>
    </row>
    <row r="44" spans="1:17" ht="15.9" customHeight="1" x14ac:dyDescent="0.3">
      <c r="B44" s="6"/>
      <c r="C44" s="69" t="s">
        <v>67</v>
      </c>
      <c r="D44" s="20" t="s">
        <v>31</v>
      </c>
      <c r="E44" s="21" t="s">
        <v>33</v>
      </c>
      <c r="F44" s="20" t="s">
        <v>35</v>
      </c>
      <c r="G44" s="21" t="s">
        <v>37</v>
      </c>
      <c r="H44" s="20" t="s">
        <v>59</v>
      </c>
      <c r="I44" s="21" t="s">
        <v>40</v>
      </c>
      <c r="J44" s="20" t="s">
        <v>42</v>
      </c>
      <c r="K44" s="21" t="s">
        <v>44</v>
      </c>
      <c r="L44" s="20" t="s">
        <v>46</v>
      </c>
      <c r="M44" s="21" t="s">
        <v>48</v>
      </c>
      <c r="N44" s="20" t="s">
        <v>50</v>
      </c>
      <c r="O44" s="21" t="s">
        <v>52</v>
      </c>
      <c r="P44" s="20" t="s">
        <v>54</v>
      </c>
      <c r="Q44" s="26" t="s">
        <v>56</v>
      </c>
    </row>
    <row r="45" spans="1:17" ht="15.9" customHeight="1" x14ac:dyDescent="0.3">
      <c r="B45" s="6"/>
      <c r="C45" s="70" t="s">
        <v>68</v>
      </c>
      <c r="D45" s="22"/>
      <c r="E45" s="23"/>
      <c r="F45" s="22"/>
      <c r="G45" s="23"/>
      <c r="H45" s="22"/>
      <c r="I45" s="23"/>
      <c r="J45" s="22"/>
      <c r="K45" s="23"/>
      <c r="L45" s="22"/>
      <c r="M45" s="23"/>
      <c r="N45" s="22"/>
      <c r="O45" s="23"/>
      <c r="P45" s="39">
        <f>SUM(Transporte18[[#This Row],[ENE]:[DIC]])</f>
        <v>0</v>
      </c>
      <c r="Q45" s="30"/>
    </row>
    <row r="46" spans="1:17" ht="15.9" customHeight="1" x14ac:dyDescent="0.3">
      <c r="B46" s="6"/>
      <c r="C46" s="70" t="s">
        <v>69</v>
      </c>
      <c r="D46" s="22"/>
      <c r="E46" s="23"/>
      <c r="F46" s="22"/>
      <c r="G46" s="23"/>
      <c r="H46" s="22"/>
      <c r="I46" s="23"/>
      <c r="J46" s="22"/>
      <c r="K46" s="23"/>
      <c r="L46" s="22"/>
      <c r="M46" s="23"/>
      <c r="N46" s="22"/>
      <c r="O46" s="23"/>
      <c r="P46" s="39">
        <f>SUM(Transporte18[[#This Row],[ENE]:[DIC]])</f>
        <v>0</v>
      </c>
      <c r="Q46" s="30"/>
    </row>
    <row r="47" spans="1:17" ht="21" customHeight="1" x14ac:dyDescent="0.3">
      <c r="B47" s="6"/>
      <c r="C47" s="70" t="s">
        <v>70</v>
      </c>
      <c r="D47" s="22"/>
      <c r="E47" s="23"/>
      <c r="F47" s="22"/>
      <c r="G47" s="23"/>
      <c r="H47" s="22"/>
      <c r="I47" s="23"/>
      <c r="J47" s="22"/>
      <c r="K47" s="23"/>
      <c r="L47" s="22"/>
      <c r="M47" s="23"/>
      <c r="N47" s="22"/>
      <c r="O47" s="23"/>
      <c r="P47" s="39">
        <f>SUM(Transporte18[[#This Row],[ENE]:[DIC]])</f>
        <v>0</v>
      </c>
      <c r="Q47" s="30"/>
    </row>
    <row r="48" spans="1:17" ht="20.149999999999999" customHeight="1" x14ac:dyDescent="0.3">
      <c r="B48" s="6"/>
      <c r="C48" s="70" t="s">
        <v>71</v>
      </c>
      <c r="D48" s="22"/>
      <c r="E48" s="23"/>
      <c r="F48" s="22"/>
      <c r="G48" s="23"/>
      <c r="H48" s="22"/>
      <c r="I48" s="23"/>
      <c r="J48" s="22"/>
      <c r="K48" s="23"/>
      <c r="L48" s="22"/>
      <c r="M48" s="23"/>
      <c r="N48" s="22"/>
      <c r="O48" s="23"/>
      <c r="P48" s="39">
        <f>SUM(Transporte18[[#This Row],[ENE]:[DIC]])</f>
        <v>0</v>
      </c>
      <c r="Q48" s="30"/>
    </row>
    <row r="49" spans="1:17" ht="21" customHeight="1" x14ac:dyDescent="0.3">
      <c r="B49" s="7"/>
      <c r="C49" s="64" t="s">
        <v>110</v>
      </c>
      <c r="D49" s="22"/>
      <c r="E49" s="23"/>
      <c r="F49" s="22"/>
      <c r="G49" s="23"/>
      <c r="H49" s="22"/>
      <c r="I49" s="23"/>
      <c r="J49" s="22"/>
      <c r="K49" s="23"/>
      <c r="L49" s="22"/>
      <c r="M49" s="23"/>
      <c r="N49" s="22"/>
      <c r="O49" s="23"/>
      <c r="P49" s="39">
        <f>SUM(Transporte18[[#This Row],[ENE]:[DIC]])</f>
        <v>0</v>
      </c>
      <c r="Q49" s="30"/>
    </row>
    <row r="50" spans="1:17" ht="15.9" customHeight="1" x14ac:dyDescent="0.3">
      <c r="A50" s="10" t="s">
        <v>8</v>
      </c>
      <c r="B50" s="7"/>
      <c r="C50" s="71" t="s">
        <v>20</v>
      </c>
      <c r="D50" s="40">
        <f>SUBTOTAL(109,Transporte18[ENE])</f>
        <v>0</v>
      </c>
      <c r="E50" s="41">
        <f>SUBTOTAL(109,Transporte18[FEB])</f>
        <v>0</v>
      </c>
      <c r="F50" s="40">
        <f>SUBTOTAL(109,Transporte18[MAR])</f>
        <v>0</v>
      </c>
      <c r="G50" s="41">
        <f>SUBTOTAL(109,Transporte18[ABR])</f>
        <v>0</v>
      </c>
      <c r="H50" s="40">
        <f>SUBTOTAL(109,Transporte18[MAY])</f>
        <v>0</v>
      </c>
      <c r="I50" s="41">
        <f>SUBTOTAL(109,Transporte18[JUN])</f>
        <v>0</v>
      </c>
      <c r="J50" s="40">
        <f>SUBTOTAL(109,Transporte18[JUL])</f>
        <v>0</v>
      </c>
      <c r="K50" s="41">
        <f>SUBTOTAL(109,Transporte18[AGO])</f>
        <v>0</v>
      </c>
      <c r="L50" s="40">
        <f>SUBTOTAL(109,Transporte18[SEP])</f>
        <v>0</v>
      </c>
      <c r="M50" s="41">
        <f>SUBTOTAL(109,Transporte18[OCT])</f>
        <v>0</v>
      </c>
      <c r="N50" s="40">
        <f>SUBTOTAL(109,Transporte18[NOV])</f>
        <v>0</v>
      </c>
      <c r="O50" s="41">
        <f>SUBTOTAL(109,Transporte18[DIC])</f>
        <v>0</v>
      </c>
      <c r="P50" s="40">
        <f>SUBTOTAL(109,Transporte18[AÑO])</f>
        <v>0</v>
      </c>
      <c r="Q50" s="42"/>
    </row>
    <row r="51" spans="1:17" ht="15.9" customHeight="1" x14ac:dyDescent="0.3">
      <c r="A51" s="12"/>
      <c r="B51" s="19"/>
      <c r="C51" s="43"/>
      <c r="D51" s="43"/>
      <c r="E51" s="43"/>
      <c r="F51" s="43"/>
      <c r="G51" s="43"/>
      <c r="H51" s="43"/>
      <c r="I51" s="43"/>
      <c r="J51" s="43"/>
      <c r="K51" s="43"/>
      <c r="L51" s="43"/>
      <c r="M51" s="43"/>
      <c r="N51" s="43"/>
      <c r="O51" s="43"/>
      <c r="P51" s="43"/>
      <c r="Q51" s="43"/>
    </row>
    <row r="52" spans="1:17" ht="15.9" customHeight="1" x14ac:dyDescent="0.3">
      <c r="B52" s="19"/>
      <c r="C52" s="72" t="s">
        <v>23</v>
      </c>
      <c r="D52" s="24" t="s">
        <v>31</v>
      </c>
      <c r="E52" s="21" t="s">
        <v>33</v>
      </c>
      <c r="F52" s="24" t="s">
        <v>35</v>
      </c>
      <c r="G52" s="21" t="s">
        <v>37</v>
      </c>
      <c r="H52" s="24" t="s">
        <v>59</v>
      </c>
      <c r="I52" s="21" t="s">
        <v>40</v>
      </c>
      <c r="J52" s="24" t="s">
        <v>42</v>
      </c>
      <c r="K52" s="21" t="s">
        <v>44</v>
      </c>
      <c r="L52" s="24" t="s">
        <v>46</v>
      </c>
      <c r="M52" s="21" t="s">
        <v>48</v>
      </c>
      <c r="N52" s="24" t="s">
        <v>50</v>
      </c>
      <c r="O52" s="21" t="s">
        <v>52</v>
      </c>
      <c r="P52" s="24" t="s">
        <v>54</v>
      </c>
      <c r="Q52" s="26" t="s">
        <v>56</v>
      </c>
    </row>
    <row r="53" spans="1:17" ht="15.9" customHeight="1" x14ac:dyDescent="0.3">
      <c r="B53" s="19"/>
      <c r="C53" s="70" t="s">
        <v>70</v>
      </c>
      <c r="D53" s="25"/>
      <c r="E53" s="23"/>
      <c r="F53" s="25"/>
      <c r="G53" s="23"/>
      <c r="H53" s="25"/>
      <c r="I53" s="23"/>
      <c r="J53" s="25"/>
      <c r="K53" s="23"/>
      <c r="L53" s="25"/>
      <c r="M53" s="23"/>
      <c r="N53" s="25"/>
      <c r="O53" s="23"/>
      <c r="P53" s="44">
        <f>SUM(Entretenimiento19[[#This Row],[ENE]:[DIC]])</f>
        <v>0</v>
      </c>
      <c r="Q53" s="30"/>
    </row>
    <row r="54" spans="1:17" ht="21" customHeight="1" x14ac:dyDescent="0.3">
      <c r="B54" s="19"/>
      <c r="C54" s="70" t="s">
        <v>72</v>
      </c>
      <c r="D54" s="25"/>
      <c r="E54" s="23"/>
      <c r="F54" s="25"/>
      <c r="G54" s="23"/>
      <c r="H54" s="25"/>
      <c r="I54" s="23"/>
      <c r="J54" s="25"/>
      <c r="K54" s="23"/>
      <c r="L54" s="25"/>
      <c r="M54" s="23"/>
      <c r="N54" s="25"/>
      <c r="O54" s="23"/>
      <c r="P54" s="44">
        <f>SUM(Entretenimiento19[[#This Row],[ENE]:[DIC]])</f>
        <v>0</v>
      </c>
      <c r="Q54" s="30"/>
    </row>
    <row r="55" spans="1:17" ht="20.149999999999999" customHeight="1" x14ac:dyDescent="0.3">
      <c r="B55" s="19"/>
      <c r="C55" s="70" t="s">
        <v>73</v>
      </c>
      <c r="D55" s="25"/>
      <c r="E55" s="23"/>
      <c r="F55" s="25"/>
      <c r="G55" s="23"/>
      <c r="H55" s="25"/>
      <c r="I55" s="23"/>
      <c r="J55" s="25"/>
      <c r="K55" s="23"/>
      <c r="L55" s="25"/>
      <c r="M55" s="23"/>
      <c r="N55" s="25"/>
      <c r="O55" s="23"/>
      <c r="P55" s="44">
        <f>SUM(Entretenimiento19[[#This Row],[ENE]:[DIC]])</f>
        <v>0</v>
      </c>
      <c r="Q55" s="30"/>
    </row>
    <row r="56" spans="1:17" ht="21" customHeight="1" x14ac:dyDescent="0.3">
      <c r="B56" s="19"/>
      <c r="C56" s="64" t="s">
        <v>110</v>
      </c>
      <c r="D56" s="25"/>
      <c r="E56" s="23"/>
      <c r="F56" s="25"/>
      <c r="G56" s="23"/>
      <c r="H56" s="25"/>
      <c r="I56" s="23"/>
      <c r="J56" s="25"/>
      <c r="K56" s="23"/>
      <c r="L56" s="25"/>
      <c r="M56" s="23"/>
      <c r="N56" s="25"/>
      <c r="O56" s="23"/>
      <c r="P56" s="44">
        <f>SUM(Entretenimiento19[[#This Row],[ENE]:[DIC]])</f>
        <v>0</v>
      </c>
      <c r="Q56" s="30"/>
    </row>
    <row r="57" spans="1:17" ht="15.9" customHeight="1" x14ac:dyDescent="0.3">
      <c r="A57" s="10" t="s">
        <v>9</v>
      </c>
      <c r="B57" s="19"/>
      <c r="C57" s="73" t="s">
        <v>20</v>
      </c>
      <c r="D57" s="45">
        <f>SUBTOTAL(109,Entretenimiento19[ENE])</f>
        <v>0</v>
      </c>
      <c r="E57" s="46">
        <f>SUBTOTAL(109,Entretenimiento19[FEB])</f>
        <v>0</v>
      </c>
      <c r="F57" s="45">
        <f>SUBTOTAL(109,Entretenimiento19[MAR])</f>
        <v>0</v>
      </c>
      <c r="G57" s="46">
        <f>SUBTOTAL(109,Entretenimiento19[ABR])</f>
        <v>0</v>
      </c>
      <c r="H57" s="45">
        <f>SUBTOTAL(109,Entretenimiento19[MAY])</f>
        <v>0</v>
      </c>
      <c r="I57" s="46">
        <f>SUBTOTAL(109,Entretenimiento19[JUN])</f>
        <v>0</v>
      </c>
      <c r="J57" s="45">
        <f>SUBTOTAL(109,Entretenimiento19[JUL])</f>
        <v>0</v>
      </c>
      <c r="K57" s="46">
        <f>SUBTOTAL(109,Entretenimiento19[AGO])</f>
        <v>0</v>
      </c>
      <c r="L57" s="45">
        <f>SUBTOTAL(109,Entretenimiento19[SEP])</f>
        <v>0</v>
      </c>
      <c r="M57" s="46">
        <f>SUBTOTAL(109,Entretenimiento19[OCT])</f>
        <v>0</v>
      </c>
      <c r="N57" s="45">
        <f>SUBTOTAL(109,Entretenimiento19[NOV])</f>
        <v>0</v>
      </c>
      <c r="O57" s="46">
        <f>SUBTOTAL(109,Entretenimiento19[DIC])</f>
        <v>0</v>
      </c>
      <c r="P57" s="45">
        <f>SUBTOTAL(109,Entretenimiento19[AÑO])</f>
        <v>0</v>
      </c>
      <c r="Q57" s="42"/>
    </row>
    <row r="58" spans="1:17" ht="15.9" customHeight="1" x14ac:dyDescent="0.3">
      <c r="B58" s="19"/>
      <c r="C58" s="43"/>
      <c r="D58" s="43"/>
      <c r="E58" s="43"/>
      <c r="F58" s="43"/>
      <c r="G58" s="43"/>
      <c r="H58" s="43"/>
      <c r="I58" s="43"/>
      <c r="J58" s="43"/>
      <c r="K58" s="43"/>
      <c r="L58" s="43"/>
      <c r="M58" s="43"/>
      <c r="N58" s="43"/>
      <c r="O58" s="43"/>
      <c r="P58" s="43"/>
      <c r="Q58" s="43"/>
    </row>
    <row r="59" spans="1:17" ht="15.9" customHeight="1" x14ac:dyDescent="0.3">
      <c r="B59" s="7"/>
      <c r="C59" s="72" t="s">
        <v>80</v>
      </c>
      <c r="D59" s="24" t="s">
        <v>31</v>
      </c>
      <c r="E59" s="21" t="s">
        <v>33</v>
      </c>
      <c r="F59" s="24" t="s">
        <v>35</v>
      </c>
      <c r="G59" s="21" t="s">
        <v>37</v>
      </c>
      <c r="H59" s="24" t="s">
        <v>59</v>
      </c>
      <c r="I59" s="21" t="s">
        <v>40</v>
      </c>
      <c r="J59" s="24" t="s">
        <v>42</v>
      </c>
      <c r="K59" s="21" t="s">
        <v>44</v>
      </c>
      <c r="L59" s="24" t="s">
        <v>46</v>
      </c>
      <c r="M59" s="21" t="s">
        <v>48</v>
      </c>
      <c r="N59" s="24" t="s">
        <v>50</v>
      </c>
      <c r="O59" s="21" t="s">
        <v>52</v>
      </c>
      <c r="P59" s="24" t="s">
        <v>54</v>
      </c>
      <c r="Q59" s="26" t="s">
        <v>56</v>
      </c>
    </row>
    <row r="60" spans="1:17" ht="15.9" customHeight="1" x14ac:dyDescent="0.3">
      <c r="A60" s="12"/>
      <c r="B60" s="7"/>
      <c r="C60" s="70" t="s">
        <v>130</v>
      </c>
      <c r="D60" s="25">
        <v>4500</v>
      </c>
      <c r="E60" s="23">
        <v>4800</v>
      </c>
      <c r="F60" s="25">
        <v>4600</v>
      </c>
      <c r="G60" s="23">
        <v>4700</v>
      </c>
      <c r="H60" s="25">
        <v>4550</v>
      </c>
      <c r="I60" s="23">
        <v>4650</v>
      </c>
      <c r="J60" s="25">
        <v>4700</v>
      </c>
      <c r="K60" s="23">
        <v>4700</v>
      </c>
      <c r="L60" s="25">
        <v>4550</v>
      </c>
      <c r="M60" s="23">
        <v>4650</v>
      </c>
      <c r="N60" s="25">
        <v>4550</v>
      </c>
      <c r="O60" s="23">
        <v>4600</v>
      </c>
      <c r="P60" s="44">
        <f>SUM(Salud20[[#This Row],[ENE]:[DIC]])</f>
        <v>55550</v>
      </c>
      <c r="Q60" s="30"/>
    </row>
    <row r="61" spans="1:17" ht="15.9" customHeight="1" x14ac:dyDescent="0.3">
      <c r="B61" s="7"/>
      <c r="C61" s="70" t="s">
        <v>131</v>
      </c>
      <c r="D61" s="25">
        <v>1200</v>
      </c>
      <c r="E61" s="23">
        <v>800</v>
      </c>
      <c r="F61" s="25">
        <v>1500</v>
      </c>
      <c r="G61" s="23">
        <v>900</v>
      </c>
      <c r="H61" s="25">
        <v>1350</v>
      </c>
      <c r="I61" s="23">
        <v>1100</v>
      </c>
      <c r="J61" s="25">
        <v>900</v>
      </c>
      <c r="K61" s="23">
        <v>900</v>
      </c>
      <c r="L61" s="25">
        <v>1350</v>
      </c>
      <c r="M61" s="23">
        <v>1100</v>
      </c>
      <c r="N61" s="25">
        <v>1350</v>
      </c>
      <c r="O61" s="23">
        <v>1500</v>
      </c>
      <c r="P61" s="44">
        <f>SUM(Salud20[[#This Row],[ENE]:[DIC]])</f>
        <v>13950</v>
      </c>
      <c r="Q61" s="30"/>
    </row>
    <row r="62" spans="1:17" ht="15.9" customHeight="1" x14ac:dyDescent="0.3">
      <c r="B62" s="7"/>
      <c r="C62" s="70" t="s">
        <v>132</v>
      </c>
      <c r="D62" s="25">
        <v>1800</v>
      </c>
      <c r="E62" s="23">
        <v>2100</v>
      </c>
      <c r="F62" s="25">
        <v>1600</v>
      </c>
      <c r="G62" s="23">
        <v>1500</v>
      </c>
      <c r="H62" s="25">
        <v>2000</v>
      </c>
      <c r="I62" s="23">
        <v>1750</v>
      </c>
      <c r="J62" s="25">
        <v>1950</v>
      </c>
      <c r="K62" s="23">
        <v>1600</v>
      </c>
      <c r="L62" s="25">
        <v>2000</v>
      </c>
      <c r="M62" s="23">
        <v>1750</v>
      </c>
      <c r="N62" s="25">
        <v>2000</v>
      </c>
      <c r="O62" s="23">
        <v>1600</v>
      </c>
      <c r="P62" s="44">
        <f>SUM(Salud20[[#This Row],[ENE]:[DIC]])</f>
        <v>21650</v>
      </c>
      <c r="Q62" s="30"/>
    </row>
    <row r="63" spans="1:17" ht="15.9" customHeight="1" x14ac:dyDescent="0.3">
      <c r="B63" s="7"/>
      <c r="C63" s="74" t="s">
        <v>133</v>
      </c>
      <c r="D63" s="25">
        <v>500</v>
      </c>
      <c r="E63" s="23">
        <v>1100</v>
      </c>
      <c r="F63" s="25">
        <v>400</v>
      </c>
      <c r="G63" s="23">
        <v>300</v>
      </c>
      <c r="H63" s="25">
        <v>800</v>
      </c>
      <c r="I63" s="23">
        <v>600</v>
      </c>
      <c r="J63" s="25">
        <v>300</v>
      </c>
      <c r="K63" s="23">
        <v>300</v>
      </c>
      <c r="L63" s="25">
        <v>800</v>
      </c>
      <c r="M63" s="23">
        <v>700</v>
      </c>
      <c r="N63" s="25">
        <v>800</v>
      </c>
      <c r="O63" s="23">
        <v>400</v>
      </c>
      <c r="P63" s="44">
        <f>SUM(Salud20[[#This Row],[ENE]:[DIC]])</f>
        <v>7000</v>
      </c>
      <c r="Q63" s="30"/>
    </row>
    <row r="64" spans="1:17" ht="21" customHeight="1" x14ac:dyDescent="0.3">
      <c r="B64" s="7"/>
      <c r="C64" s="74" t="s">
        <v>134</v>
      </c>
      <c r="D64" s="25">
        <v>1000</v>
      </c>
      <c r="E64" s="23">
        <v>0</v>
      </c>
      <c r="F64" s="25">
        <v>500</v>
      </c>
      <c r="G64" s="23">
        <v>1500</v>
      </c>
      <c r="H64" s="25">
        <v>0</v>
      </c>
      <c r="I64" s="23">
        <v>800</v>
      </c>
      <c r="J64" s="25">
        <v>1500</v>
      </c>
      <c r="K64" s="23">
        <v>1500</v>
      </c>
      <c r="L64" s="25">
        <v>0</v>
      </c>
      <c r="M64" s="23">
        <v>800</v>
      </c>
      <c r="N64" s="25">
        <v>0</v>
      </c>
      <c r="O64" s="23">
        <v>500</v>
      </c>
      <c r="P64" s="44">
        <f>SUM(Salud20[[#This Row],[ENE]:[DIC]])</f>
        <v>8100</v>
      </c>
      <c r="Q64" s="30"/>
    </row>
    <row r="65" spans="1:17" ht="20.149999999999999" customHeight="1" x14ac:dyDescent="0.3">
      <c r="B65" s="7"/>
      <c r="C65" s="70" t="s">
        <v>140</v>
      </c>
      <c r="D65" s="25">
        <v>300</v>
      </c>
      <c r="E65" s="23">
        <v>500</v>
      </c>
      <c r="F65" s="25">
        <v>400</v>
      </c>
      <c r="G65" s="23">
        <v>450</v>
      </c>
      <c r="H65" s="25">
        <v>350</v>
      </c>
      <c r="I65" s="23">
        <v>500</v>
      </c>
      <c r="J65" s="25">
        <v>450</v>
      </c>
      <c r="K65" s="23">
        <v>400</v>
      </c>
      <c r="L65" s="25">
        <v>350</v>
      </c>
      <c r="M65" s="23">
        <v>400</v>
      </c>
      <c r="N65" s="25">
        <v>350</v>
      </c>
      <c r="O65" s="23">
        <v>400</v>
      </c>
      <c r="P65" s="44">
        <f>SUM(Salud20[[#This Row],[ENE]:[DIC]])</f>
        <v>4850</v>
      </c>
      <c r="Q65" s="30"/>
    </row>
    <row r="66" spans="1:17" ht="21" hidden="1" customHeight="1" x14ac:dyDescent="0.3">
      <c r="B66" s="6"/>
      <c r="C66" s="70"/>
      <c r="D66" s="25"/>
      <c r="E66" s="23"/>
      <c r="F66" s="25"/>
      <c r="G66" s="23"/>
      <c r="H66" s="25"/>
      <c r="I66" s="23"/>
      <c r="J66" s="25"/>
      <c r="K66" s="23"/>
      <c r="L66" s="25"/>
      <c r="M66" s="23"/>
      <c r="N66" s="25"/>
      <c r="O66" s="23"/>
      <c r="P66" s="44">
        <f>SUM(Salud20[[#This Row],[ENE]:[DIC]])</f>
        <v>0</v>
      </c>
      <c r="Q66" s="30"/>
    </row>
    <row r="67" spans="1:17" ht="15.9" hidden="1" customHeight="1" x14ac:dyDescent="0.3">
      <c r="A67" s="10" t="s">
        <v>10</v>
      </c>
      <c r="B67" s="6"/>
      <c r="C67" s="64" t="s">
        <v>110</v>
      </c>
      <c r="D67" s="25"/>
      <c r="E67" s="23"/>
      <c r="F67" s="25"/>
      <c r="G67" s="23"/>
      <c r="H67" s="25"/>
      <c r="I67" s="23"/>
      <c r="J67" s="25"/>
      <c r="K67" s="23"/>
      <c r="L67" s="25"/>
      <c r="M67" s="23"/>
      <c r="N67" s="25"/>
      <c r="O67" s="23"/>
      <c r="P67" s="44">
        <f>SUM(Salud20[[#This Row],[ENE]:[DIC]])</f>
        <v>0</v>
      </c>
      <c r="Q67" s="30"/>
    </row>
    <row r="68" spans="1:17" ht="21" customHeight="1" x14ac:dyDescent="0.3">
      <c r="B68" s="6"/>
      <c r="C68" s="73" t="s">
        <v>20</v>
      </c>
      <c r="D68" s="82">
        <f>SUBTOTAL(109,Salud20[ENE])</f>
        <v>9300</v>
      </c>
      <c r="E68" s="41">
        <f>SUBTOTAL(109,Salud20[FEB])</f>
        <v>9300</v>
      </c>
      <c r="F68" s="82">
        <f>SUBTOTAL(109,Salud20[MAR])</f>
        <v>9000</v>
      </c>
      <c r="G68" s="41">
        <f>SUBTOTAL(109,Salud20[ABR])</f>
        <v>9350</v>
      </c>
      <c r="H68" s="82">
        <f>SUBTOTAL(109,Salud20[MAY])</f>
        <v>9050</v>
      </c>
      <c r="I68" s="41">
        <f>SUBTOTAL(109,Salud20[JUN])</f>
        <v>9400</v>
      </c>
      <c r="J68" s="82" t="s">
        <v>141</v>
      </c>
      <c r="K68" s="41">
        <f>SUBTOTAL(109,Salud20[AGO])</f>
        <v>9400</v>
      </c>
      <c r="L68" s="82">
        <f>SUBTOTAL(109,Salud20[SEP])</f>
        <v>9050</v>
      </c>
      <c r="M68" s="41">
        <f>SUBTOTAL(109,Salud20[OCT])</f>
        <v>9400</v>
      </c>
      <c r="N68" s="82" t="s">
        <v>142</v>
      </c>
      <c r="O68" s="41">
        <f>SUBTOTAL(109,Salud20[DIC])</f>
        <v>9000</v>
      </c>
      <c r="P68" s="82">
        <f>SUBTOTAL(109,Salud20[AÑO])</f>
        <v>111100</v>
      </c>
      <c r="Q68" s="42"/>
    </row>
    <row r="69" spans="1:17" ht="20.149999999999999" customHeight="1" x14ac:dyDescent="0.3">
      <c r="C69" s="50"/>
      <c r="D69" s="50"/>
      <c r="E69" s="50"/>
      <c r="F69" s="50"/>
      <c r="G69" s="50"/>
      <c r="H69" s="50"/>
      <c r="I69" s="50"/>
      <c r="J69" s="50"/>
      <c r="K69" s="50"/>
      <c r="L69" s="50"/>
      <c r="M69" s="50"/>
      <c r="N69" s="50"/>
      <c r="O69" s="50"/>
      <c r="P69" s="50"/>
      <c r="Q69" s="50"/>
    </row>
    <row r="70" spans="1:17" ht="21" customHeight="1" x14ac:dyDescent="0.3">
      <c r="B70" s="19"/>
      <c r="C70" s="69" t="s">
        <v>24</v>
      </c>
      <c r="D70" s="20" t="s">
        <v>31</v>
      </c>
      <c r="E70" s="21" t="s">
        <v>33</v>
      </c>
      <c r="F70" s="20" t="s">
        <v>35</v>
      </c>
      <c r="G70" s="21" t="s">
        <v>37</v>
      </c>
      <c r="H70" s="20" t="s">
        <v>59</v>
      </c>
      <c r="I70" s="21" t="s">
        <v>40</v>
      </c>
      <c r="J70" s="20" t="s">
        <v>42</v>
      </c>
      <c r="K70" s="21" t="s">
        <v>44</v>
      </c>
      <c r="L70" s="20" t="s">
        <v>46</v>
      </c>
      <c r="M70" s="21" t="s">
        <v>48</v>
      </c>
      <c r="N70" s="20" t="s">
        <v>50</v>
      </c>
      <c r="O70" s="21" t="s">
        <v>52</v>
      </c>
      <c r="P70" s="20" t="s">
        <v>54</v>
      </c>
      <c r="Q70" s="26" t="s">
        <v>56</v>
      </c>
    </row>
    <row r="71" spans="1:17" ht="15.9" customHeight="1" x14ac:dyDescent="0.3">
      <c r="A71" s="10" t="s">
        <v>11</v>
      </c>
      <c r="B71" s="19"/>
      <c r="C71" s="64" t="s">
        <v>110</v>
      </c>
      <c r="D71" s="22"/>
      <c r="E71" s="23"/>
      <c r="F71" s="22"/>
      <c r="G71" s="23"/>
      <c r="H71" s="22"/>
      <c r="I71" s="23"/>
      <c r="J71" s="22"/>
      <c r="K71" s="23"/>
      <c r="L71" s="22"/>
      <c r="M71" s="23"/>
      <c r="N71" s="22"/>
      <c r="O71" s="23"/>
      <c r="P71" s="39">
        <f>SUM(Vacaciones21[[#This Row],[ENE]:[DIC]])</f>
        <v>0</v>
      </c>
      <c r="Q71" s="30"/>
    </row>
    <row r="72" spans="1:17" ht="21" customHeight="1" x14ac:dyDescent="0.3">
      <c r="B72" s="19"/>
      <c r="C72" s="71" t="s">
        <v>20</v>
      </c>
      <c r="D72" s="40">
        <f>SUBTOTAL(109,Vacaciones21[ENE])</f>
        <v>0</v>
      </c>
      <c r="E72" s="41">
        <f>SUBTOTAL(109,Vacaciones21[FEB])</f>
        <v>0</v>
      </c>
      <c r="F72" s="40">
        <f>SUBTOTAL(109,Vacaciones21[MAR])</f>
        <v>0</v>
      </c>
      <c r="G72" s="41">
        <f>SUBTOTAL(109,Vacaciones21[ABR])</f>
        <v>0</v>
      </c>
      <c r="H72" s="40">
        <f>SUBTOTAL(109,Vacaciones21[MAY])</f>
        <v>0</v>
      </c>
      <c r="I72" s="41">
        <f>SUBTOTAL(109,Vacaciones21[JUN])</f>
        <v>0</v>
      </c>
      <c r="J72" s="40">
        <f>SUBTOTAL(109,Vacaciones21[JUL])</f>
        <v>0</v>
      </c>
      <c r="K72" s="41">
        <f>SUBTOTAL(109,Vacaciones21[AGO])</f>
        <v>0</v>
      </c>
      <c r="L72" s="40">
        <f>SUBTOTAL(109,Vacaciones21[SEP])</f>
        <v>0</v>
      </c>
      <c r="M72" s="41">
        <f>SUBTOTAL(109,Vacaciones21[OCT])</f>
        <v>0</v>
      </c>
      <c r="N72" s="40">
        <f>SUBTOTAL(109,Vacaciones21[NOV])</f>
        <v>0</v>
      </c>
      <c r="O72" s="41">
        <f>SUBTOTAL(109,Vacaciones21[DIC])</f>
        <v>0</v>
      </c>
      <c r="P72" s="40">
        <f>SUBTOTAL(109,Vacaciones21[AÑO])</f>
        <v>0</v>
      </c>
      <c r="Q72" s="42"/>
    </row>
    <row r="73" spans="1:17" ht="20.149999999999999" customHeight="1" x14ac:dyDescent="0.3">
      <c r="C73" s="50"/>
      <c r="D73" s="50"/>
      <c r="E73" s="50"/>
      <c r="F73" s="50"/>
      <c r="G73" s="50"/>
      <c r="H73" s="50"/>
      <c r="I73" s="50"/>
      <c r="J73" s="50"/>
      <c r="K73" s="50"/>
      <c r="L73" s="50"/>
      <c r="M73" s="50"/>
      <c r="N73" s="50"/>
      <c r="O73" s="50"/>
      <c r="P73" s="50"/>
      <c r="Q73" s="50"/>
    </row>
    <row r="74" spans="1:17" ht="21" customHeight="1" x14ac:dyDescent="0.3">
      <c r="B74" s="19"/>
      <c r="C74" s="77" t="s">
        <v>25</v>
      </c>
      <c r="D74" s="20" t="s">
        <v>31</v>
      </c>
      <c r="E74" s="21" t="s">
        <v>33</v>
      </c>
      <c r="F74" s="20" t="s">
        <v>35</v>
      </c>
      <c r="G74" s="21" t="s">
        <v>37</v>
      </c>
      <c r="H74" s="20" t="s">
        <v>59</v>
      </c>
      <c r="I74" s="21" t="s">
        <v>40</v>
      </c>
      <c r="J74" s="20" t="s">
        <v>42</v>
      </c>
      <c r="K74" s="21" t="s">
        <v>44</v>
      </c>
      <c r="L74" s="20" t="s">
        <v>46</v>
      </c>
      <c r="M74" s="21" t="s">
        <v>48</v>
      </c>
      <c r="N74" s="20" t="s">
        <v>50</v>
      </c>
      <c r="O74" s="21" t="s">
        <v>52</v>
      </c>
      <c r="P74" s="20" t="s">
        <v>54</v>
      </c>
      <c r="Q74" s="26" t="s">
        <v>56</v>
      </c>
    </row>
    <row r="75" spans="1:17" ht="15.9" customHeight="1" x14ac:dyDescent="0.3">
      <c r="A75" s="10" t="s">
        <v>12</v>
      </c>
      <c r="B75" s="19"/>
      <c r="C75" s="64" t="s">
        <v>110</v>
      </c>
      <c r="D75" s="22"/>
      <c r="E75" s="23"/>
      <c r="F75" s="22"/>
      <c r="G75" s="23"/>
      <c r="H75" s="22"/>
      <c r="I75" s="23"/>
      <c r="J75" s="22"/>
      <c r="K75" s="23"/>
      <c r="L75" s="22"/>
      <c r="M75" s="23"/>
      <c r="N75" s="22"/>
      <c r="O75" s="23"/>
      <c r="P75" s="39">
        <f>SUM(Recreo22[[#This Row],[ENE]:[DIC]])</f>
        <v>0</v>
      </c>
      <c r="Q75" s="30"/>
    </row>
    <row r="76" spans="1:17" ht="21" customHeight="1" x14ac:dyDescent="0.3">
      <c r="B76" s="19"/>
      <c r="C76" s="71" t="s">
        <v>20</v>
      </c>
      <c r="D76" s="81">
        <f>SUBTOTAL(109,Recreo22[ENE])</f>
        <v>0</v>
      </c>
      <c r="E76" s="46">
        <f>SUBTOTAL(109,Recreo22[FEB])</f>
        <v>0</v>
      </c>
      <c r="F76" s="81">
        <f>SUBTOTAL(109,Recreo22[MAR])</f>
        <v>0</v>
      </c>
      <c r="G76" s="46">
        <f>SUBTOTAL(109,Recreo22[ABR])</f>
        <v>0</v>
      </c>
      <c r="H76" s="81">
        <f>SUBTOTAL(109,Recreo22[MAY])</f>
        <v>0</v>
      </c>
      <c r="I76" s="46">
        <f>SUBTOTAL(109,Recreo22[JUN])</f>
        <v>0</v>
      </c>
      <c r="J76" s="81">
        <f>SUBTOTAL(109,Recreo22[JUL])</f>
        <v>0</v>
      </c>
      <c r="K76" s="46">
        <f>SUBTOTAL(109,Recreo22[AGO])</f>
        <v>0</v>
      </c>
      <c r="L76" s="81">
        <f>SUBTOTAL(109,Recreo22[SEP])</f>
        <v>0</v>
      </c>
      <c r="M76" s="46">
        <f>SUBTOTAL(109,Recreo22[OCT])</f>
        <v>0</v>
      </c>
      <c r="N76" s="81">
        <f>SUBTOTAL(109,Recreo22[NOV])</f>
        <v>0</v>
      </c>
      <c r="O76" s="46">
        <f>SUBTOTAL(109,Recreo22[DIC])</f>
        <v>0</v>
      </c>
      <c r="P76" s="81">
        <f>SUBTOTAL(109,Recreo22[AÑO])</f>
        <v>0</v>
      </c>
      <c r="Q76" s="42"/>
    </row>
    <row r="77" spans="1:17" ht="20.149999999999999" customHeight="1" x14ac:dyDescent="0.3">
      <c r="C77" s="50"/>
      <c r="D77" s="50"/>
      <c r="E77" s="50"/>
      <c r="F77" s="50"/>
      <c r="G77" s="50"/>
      <c r="H77" s="50"/>
      <c r="I77" s="50"/>
      <c r="J77" s="50"/>
      <c r="K77" s="50"/>
      <c r="L77" s="50"/>
      <c r="M77" s="50"/>
      <c r="N77" s="50"/>
      <c r="O77" s="50"/>
      <c r="P77" s="50"/>
      <c r="Q77" s="50"/>
    </row>
    <row r="78" spans="1:17" ht="21" customHeight="1" x14ac:dyDescent="0.3">
      <c r="B78" s="19"/>
      <c r="C78" s="78" t="s">
        <v>26</v>
      </c>
      <c r="D78" s="24" t="s">
        <v>31</v>
      </c>
      <c r="E78" s="21" t="s">
        <v>33</v>
      </c>
      <c r="F78" s="24" t="s">
        <v>35</v>
      </c>
      <c r="G78" s="21" t="s">
        <v>37</v>
      </c>
      <c r="H78" s="24" t="s">
        <v>59</v>
      </c>
      <c r="I78" s="21" t="s">
        <v>40</v>
      </c>
      <c r="J78" s="24" t="s">
        <v>42</v>
      </c>
      <c r="K78" s="21" t="s">
        <v>44</v>
      </c>
      <c r="L78" s="24" t="s">
        <v>46</v>
      </c>
      <c r="M78" s="21" t="s">
        <v>48</v>
      </c>
      <c r="N78" s="24" t="s">
        <v>50</v>
      </c>
      <c r="O78" s="21" t="s">
        <v>52</v>
      </c>
      <c r="P78" s="24" t="s">
        <v>54</v>
      </c>
      <c r="Q78" s="26" t="s">
        <v>56</v>
      </c>
    </row>
    <row r="79" spans="1:17" ht="15.9" customHeight="1" x14ac:dyDescent="0.3">
      <c r="A79" s="10" t="s">
        <v>60</v>
      </c>
      <c r="B79" s="19"/>
      <c r="C79" s="64" t="s">
        <v>110</v>
      </c>
      <c r="D79" s="25"/>
      <c r="E79" s="23"/>
      <c r="F79" s="25"/>
      <c r="G79" s="23"/>
      <c r="H79" s="25"/>
      <c r="I79" s="23"/>
      <c r="J79" s="25"/>
      <c r="K79" s="23"/>
      <c r="L79" s="25"/>
      <c r="M79" s="23"/>
      <c r="N79" s="25"/>
      <c r="O79" s="23"/>
      <c r="P79" s="44">
        <f>SUM(DuesAndSubscription23[[#This Row],[ENE]:[DIC]])</f>
        <v>0</v>
      </c>
      <c r="Q79" s="30"/>
    </row>
    <row r="80" spans="1:17" ht="21" customHeight="1" x14ac:dyDescent="0.3">
      <c r="B80" s="19"/>
      <c r="C80" s="73" t="s">
        <v>20</v>
      </c>
      <c r="D80" s="45">
        <f>SUBTOTAL(109,DuesAndSubscription23[ENE])</f>
        <v>0</v>
      </c>
      <c r="E80" s="46">
        <f>SUBTOTAL(109,DuesAndSubscription23[FEB])</f>
        <v>0</v>
      </c>
      <c r="F80" s="45">
        <f>SUBTOTAL(109,DuesAndSubscription23[MAR])</f>
        <v>0</v>
      </c>
      <c r="G80" s="46">
        <f>SUBTOTAL(109,DuesAndSubscription23[ABR])</f>
        <v>0</v>
      </c>
      <c r="H80" s="45">
        <f>SUBTOTAL(109,DuesAndSubscription23[MAY])</f>
        <v>0</v>
      </c>
      <c r="I80" s="46">
        <f>SUBTOTAL(109,DuesAndSubscription23[JUN])</f>
        <v>0</v>
      </c>
      <c r="J80" s="45">
        <f>SUBTOTAL(109,DuesAndSubscription23[JUL])</f>
        <v>0</v>
      </c>
      <c r="K80" s="46">
        <f>SUBTOTAL(109,DuesAndSubscription23[AGO])</f>
        <v>0</v>
      </c>
      <c r="L80" s="45">
        <f>SUBTOTAL(109,DuesAndSubscription23[SEP])</f>
        <v>0</v>
      </c>
      <c r="M80" s="46">
        <f>SUBTOTAL(109,DuesAndSubscription23[OCT])</f>
        <v>0</v>
      </c>
      <c r="N80" s="45">
        <f>SUBTOTAL(109,DuesAndSubscription23[NOV])</f>
        <v>0</v>
      </c>
      <c r="O80" s="46">
        <f>SUBTOTAL(109,DuesAndSubscription23[DIC])</f>
        <v>0</v>
      </c>
      <c r="P80" s="45">
        <f>SUBTOTAL(109,DuesAndSubscription23[AÑO])</f>
        <v>0</v>
      </c>
      <c r="Q80" s="42"/>
    </row>
    <row r="81" spans="1:17" ht="20.149999999999999" customHeight="1" x14ac:dyDescent="0.3">
      <c r="C81" s="50"/>
      <c r="D81" s="50"/>
      <c r="E81" s="50"/>
      <c r="F81" s="50"/>
      <c r="G81" s="50"/>
      <c r="H81" s="50"/>
      <c r="I81" s="50"/>
      <c r="J81" s="50"/>
      <c r="K81" s="50"/>
      <c r="L81" s="50"/>
      <c r="M81" s="50"/>
      <c r="N81" s="50"/>
      <c r="O81" s="50"/>
      <c r="P81" s="50"/>
      <c r="Q81" s="50"/>
    </row>
    <row r="82" spans="1:17" ht="21" customHeight="1" x14ac:dyDescent="0.3">
      <c r="B82" s="19"/>
      <c r="C82" s="78" t="s">
        <v>27</v>
      </c>
      <c r="D82" s="24" t="s">
        <v>31</v>
      </c>
      <c r="E82" s="21" t="s">
        <v>33</v>
      </c>
      <c r="F82" s="24" t="s">
        <v>35</v>
      </c>
      <c r="G82" s="21" t="s">
        <v>37</v>
      </c>
      <c r="H82" s="24" t="s">
        <v>59</v>
      </c>
      <c r="I82" s="21" t="s">
        <v>40</v>
      </c>
      <c r="J82" s="24" t="s">
        <v>42</v>
      </c>
      <c r="K82" s="21" t="s">
        <v>44</v>
      </c>
      <c r="L82" s="24" t="s">
        <v>46</v>
      </c>
      <c r="M82" s="21" t="s">
        <v>48</v>
      </c>
      <c r="N82" s="24" t="s">
        <v>50</v>
      </c>
      <c r="O82" s="21" t="s">
        <v>52</v>
      </c>
      <c r="P82" s="24" t="s">
        <v>54</v>
      </c>
      <c r="Q82" s="26" t="s">
        <v>56</v>
      </c>
    </row>
    <row r="83" spans="1:17" ht="15.9" customHeight="1" x14ac:dyDescent="0.3">
      <c r="A83" s="10" t="s">
        <v>13</v>
      </c>
      <c r="B83" s="19"/>
      <c r="C83" s="64" t="s">
        <v>110</v>
      </c>
      <c r="D83" s="25"/>
      <c r="E83" s="23"/>
      <c r="F83" s="25"/>
      <c r="G83" s="23"/>
      <c r="H83" s="25"/>
      <c r="I83" s="23"/>
      <c r="J83" s="25"/>
      <c r="K83" s="23"/>
      <c r="L83" s="25"/>
      <c r="M83" s="23"/>
      <c r="N83" s="25"/>
      <c r="O83" s="23"/>
      <c r="P83" s="44">
        <f>SUM(Personal24[[#This Row],[ENE]:[DIC]])</f>
        <v>0</v>
      </c>
      <c r="Q83" s="30"/>
    </row>
    <row r="84" spans="1:17" ht="15.9" customHeight="1" x14ac:dyDescent="0.3">
      <c r="B84" s="19"/>
      <c r="C84" s="73" t="s">
        <v>20</v>
      </c>
      <c r="D84" s="45">
        <f>SUBTOTAL(109,Personal24[ENE])</f>
        <v>0</v>
      </c>
      <c r="E84" s="46">
        <f>SUBTOTAL(109,Personal24[FEB])</f>
        <v>0</v>
      </c>
      <c r="F84" s="45">
        <f>SUBTOTAL(109,Personal24[MAR])</f>
        <v>0</v>
      </c>
      <c r="G84" s="46">
        <f>SUBTOTAL(109,Personal24[ABR])</f>
        <v>0</v>
      </c>
      <c r="H84" s="45">
        <f>SUBTOTAL(109,Personal24[MAY])</f>
        <v>0</v>
      </c>
      <c r="I84" s="46">
        <f>SUBTOTAL(109,Personal24[JUN])</f>
        <v>0</v>
      </c>
      <c r="J84" s="45">
        <f>SUBTOTAL(109,Personal24[JUL])</f>
        <v>0</v>
      </c>
      <c r="K84" s="46">
        <f>SUBTOTAL(109,Personal24[AGO])</f>
        <v>0</v>
      </c>
      <c r="L84" s="45">
        <f>SUBTOTAL(109,Personal24[SEP])</f>
        <v>0</v>
      </c>
      <c r="M84" s="46">
        <f>SUBTOTAL(109,Personal24[OCT])</f>
        <v>0</v>
      </c>
      <c r="N84" s="45">
        <f>SUBTOTAL(109,Personal24[NOV])</f>
        <v>0</v>
      </c>
      <c r="O84" s="46">
        <f>SUBTOTAL(109,Personal24[DIC])</f>
        <v>0</v>
      </c>
      <c r="P84" s="45">
        <f>SUBTOTAL(109,Personal24[AÑO])</f>
        <v>0</v>
      </c>
      <c r="Q84" s="42"/>
    </row>
    <row r="85" spans="1:17" ht="15.9" customHeight="1" x14ac:dyDescent="0.3">
      <c r="B85" s="19"/>
      <c r="C85" s="43"/>
      <c r="D85" s="43"/>
      <c r="E85" s="43"/>
      <c r="F85" s="43"/>
      <c r="G85" s="43"/>
      <c r="H85" s="43"/>
      <c r="I85" s="43"/>
      <c r="J85" s="43"/>
      <c r="K85" s="43"/>
      <c r="L85" s="43"/>
      <c r="M85" s="43"/>
      <c r="N85" s="43"/>
      <c r="O85" s="43"/>
      <c r="P85" s="43"/>
      <c r="Q85" s="43"/>
    </row>
    <row r="86" spans="1:17" ht="15.9" customHeight="1" x14ac:dyDescent="0.3">
      <c r="B86" s="6"/>
      <c r="C86" s="77" t="s">
        <v>28</v>
      </c>
      <c r="D86" s="20" t="s">
        <v>31</v>
      </c>
      <c r="E86" s="21" t="s">
        <v>33</v>
      </c>
      <c r="F86" s="20" t="s">
        <v>35</v>
      </c>
      <c r="G86" s="21" t="s">
        <v>37</v>
      </c>
      <c r="H86" s="20" t="s">
        <v>59</v>
      </c>
      <c r="I86" s="21" t="s">
        <v>40</v>
      </c>
      <c r="J86" s="20" t="s">
        <v>42</v>
      </c>
      <c r="K86" s="21" t="s">
        <v>44</v>
      </c>
      <c r="L86" s="20" t="s">
        <v>46</v>
      </c>
      <c r="M86" s="21" t="s">
        <v>48</v>
      </c>
      <c r="N86" s="20" t="s">
        <v>50</v>
      </c>
      <c r="O86" s="21" t="s">
        <v>52</v>
      </c>
      <c r="P86" s="20" t="s">
        <v>54</v>
      </c>
      <c r="Q86" s="26" t="s">
        <v>56</v>
      </c>
    </row>
    <row r="87" spans="1:17" ht="15.9" customHeight="1" x14ac:dyDescent="0.3">
      <c r="B87" s="6"/>
      <c r="C87" s="70" t="s">
        <v>108</v>
      </c>
      <c r="D87" s="22">
        <v>2800</v>
      </c>
      <c r="E87" s="23">
        <v>2800</v>
      </c>
      <c r="F87" s="22">
        <v>2800</v>
      </c>
      <c r="G87" s="23">
        <v>2800</v>
      </c>
      <c r="H87" s="22">
        <v>2800</v>
      </c>
      <c r="I87" s="23">
        <v>2800</v>
      </c>
      <c r="J87" s="22">
        <v>2800</v>
      </c>
      <c r="K87" s="23">
        <v>2800</v>
      </c>
      <c r="L87" s="22">
        <v>2800</v>
      </c>
      <c r="M87" s="23">
        <v>2800</v>
      </c>
      <c r="N87" s="22">
        <v>2800</v>
      </c>
      <c r="O87" s="23">
        <v>2800</v>
      </c>
      <c r="P87" s="39">
        <f>SUM(Finanzas25[[#This Row],[ENE]:[DIC]])</f>
        <v>33600</v>
      </c>
      <c r="Q87" s="30"/>
    </row>
    <row r="88" spans="1:17" ht="21" customHeight="1" x14ac:dyDescent="0.3">
      <c r="B88" s="6"/>
      <c r="C88" s="70" t="s">
        <v>109</v>
      </c>
      <c r="D88" s="22"/>
      <c r="E88" s="23"/>
      <c r="F88" s="22"/>
      <c r="G88" s="23"/>
      <c r="H88" s="22"/>
      <c r="I88" s="23"/>
      <c r="J88" s="22"/>
      <c r="K88" s="23"/>
      <c r="L88" s="22"/>
      <c r="M88" s="23"/>
      <c r="N88" s="22"/>
      <c r="O88" s="23"/>
      <c r="P88" s="39">
        <f>SUM(Finanzas25[[#This Row],[ENE]:[DIC]])</f>
        <v>0</v>
      </c>
      <c r="Q88" s="30"/>
    </row>
    <row r="89" spans="1:17" ht="20.149999999999999" customHeight="1" x14ac:dyDescent="0.3">
      <c r="B89" s="6"/>
      <c r="C89" s="70" t="s">
        <v>88</v>
      </c>
      <c r="D89" s="22"/>
      <c r="E89" s="23"/>
      <c r="F89" s="22"/>
      <c r="G89" s="23"/>
      <c r="H89" s="22"/>
      <c r="I89" s="23"/>
      <c r="J89" s="22"/>
      <c r="K89" s="23"/>
      <c r="L89" s="22"/>
      <c r="M89" s="23"/>
      <c r="N89" s="22"/>
      <c r="O89" s="23"/>
      <c r="P89" s="39">
        <f>SUM(Finanzas25[[#This Row],[ENE]:[DIC]])</f>
        <v>0</v>
      </c>
      <c r="Q89" s="30"/>
    </row>
    <row r="90" spans="1:17" ht="21" customHeight="1" x14ac:dyDescent="0.3">
      <c r="B90" s="6"/>
      <c r="C90" s="70" t="s">
        <v>92</v>
      </c>
      <c r="D90" s="22"/>
      <c r="E90" s="23"/>
      <c r="F90" s="22"/>
      <c r="G90" s="23"/>
      <c r="H90" s="22"/>
      <c r="I90" s="23"/>
      <c r="J90" s="22"/>
      <c r="K90" s="23"/>
      <c r="L90" s="22"/>
      <c r="M90" s="23"/>
      <c r="N90" s="22"/>
      <c r="O90" s="23"/>
      <c r="P90" s="39">
        <f>SUM(Finanzas25[[#This Row],[ENE]:[DIC]])</f>
        <v>0</v>
      </c>
      <c r="Q90" s="30"/>
    </row>
    <row r="91" spans="1:17" ht="15.9" customHeight="1" x14ac:dyDescent="0.3">
      <c r="A91" s="10" t="s">
        <v>14</v>
      </c>
      <c r="B91" s="6"/>
      <c r="C91" s="70" t="s">
        <v>89</v>
      </c>
      <c r="D91" s="22"/>
      <c r="E91" s="23"/>
      <c r="F91" s="22"/>
      <c r="G91" s="23"/>
      <c r="H91" s="22"/>
      <c r="I91" s="23"/>
      <c r="J91" s="22"/>
      <c r="K91" s="23"/>
      <c r="L91" s="22"/>
      <c r="M91" s="23"/>
      <c r="N91" s="22"/>
      <c r="O91" s="23"/>
      <c r="P91" s="39">
        <f>SUM(Finanzas25[[#This Row],[ENE]:[DIC]])</f>
        <v>0</v>
      </c>
      <c r="Q91" s="30"/>
    </row>
    <row r="92" spans="1:17" ht="21" customHeight="1" x14ac:dyDescent="0.3">
      <c r="B92" s="6"/>
      <c r="C92" s="70" t="s">
        <v>110</v>
      </c>
      <c r="D92" s="22"/>
      <c r="E92" s="23"/>
      <c r="F92" s="22"/>
      <c r="G92" s="23"/>
      <c r="H92" s="22"/>
      <c r="I92" s="23"/>
      <c r="J92" s="22"/>
      <c r="K92" s="23"/>
      <c r="L92" s="22"/>
      <c r="M92" s="23"/>
      <c r="N92" s="22"/>
      <c r="O92" s="23"/>
      <c r="P92" s="39">
        <f>SUM(Finanzas25[[#This Row],[ENE]:[DIC]])</f>
        <v>0</v>
      </c>
      <c r="Q92" s="30"/>
    </row>
    <row r="93" spans="1:17" ht="20.149999999999999" customHeight="1" x14ac:dyDescent="0.3">
      <c r="C93" s="71" t="s">
        <v>20</v>
      </c>
      <c r="D93" s="40">
        <f>SUBTOTAL(109,Finanzas25[ENE])</f>
        <v>2800</v>
      </c>
      <c r="E93" s="41">
        <f>SUBTOTAL(109,Finanzas25[FEB])</f>
        <v>2800</v>
      </c>
      <c r="F93" s="40">
        <f>SUBTOTAL(109,Finanzas25[MAR])</f>
        <v>2800</v>
      </c>
      <c r="G93" s="41">
        <f>SUBTOTAL(109,Finanzas25[ABR])</f>
        <v>2800</v>
      </c>
      <c r="H93" s="40">
        <f>SUBTOTAL(109,Finanzas25[MAY])</f>
        <v>2800</v>
      </c>
      <c r="I93" s="41">
        <f>SUBTOTAL(109,Finanzas25[JUN])</f>
        <v>2800</v>
      </c>
      <c r="J93" s="40">
        <f>SUBTOTAL(109,Finanzas25[JUL])</f>
        <v>2800</v>
      </c>
      <c r="K93" s="41">
        <f>SUBTOTAL(109,Finanzas25[AGO])</f>
        <v>2800</v>
      </c>
      <c r="L93" s="40">
        <f>SUBTOTAL(109,Finanzas25[SEP])</f>
        <v>2800</v>
      </c>
      <c r="M93" s="41">
        <f>SUBTOTAL(109,Finanzas25[OCT])</f>
        <v>2800</v>
      </c>
      <c r="N93" s="40">
        <f>SUBTOTAL(109,Finanzas25[NOV])</f>
        <v>2800</v>
      </c>
      <c r="O93" s="41">
        <f>SUBTOTAL(109,Finanzas25[DIC])</f>
        <v>2800</v>
      </c>
      <c r="P93" s="40">
        <f>SUBTOTAL(109,Finanzas25[AÑO])</f>
        <v>33600</v>
      </c>
      <c r="Q93" s="42"/>
    </row>
    <row r="94" spans="1:17" ht="21" customHeight="1" x14ac:dyDescent="0.3">
      <c r="C94" s="50"/>
      <c r="D94" s="50"/>
      <c r="E94" s="50"/>
      <c r="F94" s="50"/>
      <c r="G94" s="50"/>
      <c r="H94" s="50"/>
      <c r="I94" s="50"/>
      <c r="J94" s="50"/>
      <c r="K94" s="50"/>
      <c r="L94" s="50"/>
      <c r="M94" s="50"/>
      <c r="N94" s="50"/>
      <c r="O94" s="50"/>
      <c r="P94" s="50"/>
      <c r="Q94" s="50"/>
    </row>
    <row r="95" spans="1:17" ht="15.9" customHeight="1" x14ac:dyDescent="0.3">
      <c r="A95" s="10" t="s">
        <v>61</v>
      </c>
      <c r="B95" s="6"/>
      <c r="C95" s="77" t="s">
        <v>66</v>
      </c>
      <c r="D95" s="20" t="s">
        <v>31</v>
      </c>
      <c r="E95" s="21" t="s">
        <v>33</v>
      </c>
      <c r="F95" s="20" t="s">
        <v>35</v>
      </c>
      <c r="G95" s="21" t="s">
        <v>37</v>
      </c>
      <c r="H95" s="20" t="s">
        <v>59</v>
      </c>
      <c r="I95" s="21" t="s">
        <v>40</v>
      </c>
      <c r="J95" s="20" t="s">
        <v>42</v>
      </c>
      <c r="K95" s="21" t="s">
        <v>44</v>
      </c>
      <c r="L95" s="20" t="s">
        <v>46</v>
      </c>
      <c r="M95" s="21" t="s">
        <v>48</v>
      </c>
      <c r="N95" s="20" t="s">
        <v>50</v>
      </c>
      <c r="O95" s="21" t="s">
        <v>52</v>
      </c>
      <c r="P95" s="20" t="s">
        <v>54</v>
      </c>
      <c r="Q95" s="26" t="s">
        <v>56</v>
      </c>
    </row>
    <row r="96" spans="1:17" ht="15.9" customHeight="1" x14ac:dyDescent="0.3">
      <c r="B96" s="6"/>
      <c r="C96" s="70" t="s">
        <v>110</v>
      </c>
      <c r="D96" s="22"/>
      <c r="E96" s="23"/>
      <c r="F96" s="22"/>
      <c r="G96" s="23"/>
      <c r="H96" s="22"/>
      <c r="I96" s="23"/>
      <c r="J96" s="22"/>
      <c r="K96" s="23"/>
      <c r="L96" s="22"/>
      <c r="M96" s="23"/>
      <c r="N96" s="22"/>
      <c r="O96" s="23"/>
      <c r="P96" s="39">
        <f>SUM(Varios26[[#This Row],[ENE]:[DIC]])</f>
        <v>0</v>
      </c>
      <c r="Q96" s="30"/>
    </row>
    <row r="97" spans="2:17" ht="13.5" x14ac:dyDescent="0.3">
      <c r="C97" s="71" t="s">
        <v>20</v>
      </c>
      <c r="D97" s="81">
        <f>SUBTOTAL(109,Varios26[ENE])</f>
        <v>0</v>
      </c>
      <c r="E97" s="46">
        <f>SUBTOTAL(109,Varios26[FEB])</f>
        <v>0</v>
      </c>
      <c r="F97" s="81">
        <f>SUBTOTAL(109,Varios26[MAR])</f>
        <v>0</v>
      </c>
      <c r="G97" s="46">
        <f>SUBTOTAL(109,Varios26[ABR])</f>
        <v>0</v>
      </c>
      <c r="H97" s="81">
        <f>SUBTOTAL(109,Varios26[MAY])</f>
        <v>0</v>
      </c>
      <c r="I97" s="46">
        <f>SUBTOTAL(109,Varios26[JUN])</f>
        <v>0</v>
      </c>
      <c r="J97" s="81">
        <f>SUBTOTAL(109,Varios26[JUL])</f>
        <v>0</v>
      </c>
      <c r="K97" s="46">
        <f>SUBTOTAL(109,Varios26[AGO])</f>
        <v>0</v>
      </c>
      <c r="L97" s="81">
        <f>SUBTOTAL(109,Varios26[SEP])</f>
        <v>0</v>
      </c>
      <c r="M97" s="46">
        <f>SUBTOTAL(109,Varios26[OCT])</f>
        <v>0</v>
      </c>
      <c r="N97" s="81">
        <f>SUBTOTAL(109,Varios26[NOV])</f>
        <v>0</v>
      </c>
      <c r="O97" s="46">
        <f>SUBTOTAL(109,Varios26[DIC])</f>
        <v>0</v>
      </c>
      <c r="P97" s="81">
        <f>SUBTOTAL(109,Varios26[AÑO])</f>
        <v>0</v>
      </c>
      <c r="Q97" s="42"/>
    </row>
    <row r="98" spans="2:17" ht="30" customHeight="1" x14ac:dyDescent="0.3">
      <c r="C98" s="50"/>
      <c r="D98" s="50"/>
      <c r="E98" s="50"/>
      <c r="F98" s="50"/>
      <c r="G98" s="50"/>
      <c r="H98" s="50"/>
      <c r="I98" s="50"/>
      <c r="J98" s="50"/>
      <c r="K98" s="50"/>
      <c r="L98" s="50"/>
      <c r="M98" s="50"/>
      <c r="N98" s="50"/>
      <c r="O98" s="50"/>
      <c r="P98" s="50"/>
      <c r="Q98" s="50"/>
    </row>
    <row r="99" spans="2:17" ht="16" x14ac:dyDescent="0.3">
      <c r="B99" s="2"/>
      <c r="C99" s="79" t="s">
        <v>29</v>
      </c>
      <c r="D99" s="56" t="s">
        <v>31</v>
      </c>
      <c r="E99" s="55" t="s">
        <v>33</v>
      </c>
      <c r="F99" s="56" t="s">
        <v>35</v>
      </c>
      <c r="G99" s="55" t="s">
        <v>37</v>
      </c>
      <c r="H99" s="56" t="s">
        <v>59</v>
      </c>
      <c r="I99" s="55" t="s">
        <v>40</v>
      </c>
      <c r="J99" s="56" t="s">
        <v>42</v>
      </c>
      <c r="K99" s="55" t="s">
        <v>44</v>
      </c>
      <c r="L99" s="56" t="s">
        <v>46</v>
      </c>
      <c r="M99" s="55" t="s">
        <v>48</v>
      </c>
      <c r="N99" s="56" t="s">
        <v>50</v>
      </c>
      <c r="O99" s="55" t="s">
        <v>52</v>
      </c>
      <c r="P99" s="56" t="s">
        <v>54</v>
      </c>
      <c r="Q99" s="57" t="s">
        <v>57</v>
      </c>
    </row>
    <row r="100" spans="2:17" ht="13.5" x14ac:dyDescent="0.3">
      <c r="B100" s="2"/>
      <c r="C100" s="80" t="s">
        <v>62</v>
      </c>
      <c r="D100" s="58">
        <f>SUM(Varios26[[#Totals],[ENE]],Finanzas25[[#Totals],[ENE]],Personal24[[#Totals],[ENE]],DuesAndSubscription23[[#Totals],[ENE]],Recreo22[[#Totals],[ENE]],Vacaciones21[[#Totals],[ENE]],Salud20[[#Totals],[ENE]],Entretenimiento19[[#Totals],[ENE]],Transporte18[[#Totals],[ENE]],Diario17[[#Totals],[ENE]],Hogar16[[#Totals],[Enero]])</f>
        <v>27900</v>
      </c>
      <c r="E100" s="59">
        <f>SUM(Varios26[[#Totals],[FEB]],Finanzas25[[#Totals],[FEB]],Personal24[[#Totals],[FEB]],DuesAndSubscription23[[#Totals],[FEB]],Recreo22[[#Totals],[FEB]],Vacaciones21[[#Totals],[FEB]],Salud20[[#Totals],[FEB]],Entretenimiento19[[#Totals],[FEB]],Transporte18[[#Totals],[FEB]],Diario17[[#Totals],[FEB]],Hogar16[[#Totals],[Febrero]])</f>
        <v>27900</v>
      </c>
      <c r="F100" s="58">
        <f>SUM(Varios26[[#Totals],[MAR]],Finanzas25[[#Totals],[MAR]],Personal24[[#Totals],[MAR]],DuesAndSubscription23[[#Totals],[MAR]],Recreo22[[#Totals],[MAR]],Vacaciones21[[#Totals],[MAR]],Salud20[[#Totals],[MAR]],Entretenimiento19[[#Totals],[MAR]],Transporte18[[#Totals],[MAR]],Diario17[[#Totals],[MAR]],Hogar16[[#Totals],[Marzo]])</f>
        <v>27600</v>
      </c>
      <c r="G100" s="59">
        <f>SUM(Varios26[[#Totals],[ABR]],Finanzas25[[#Totals],[ABR]],Personal24[[#Totals],[ABR]],DuesAndSubscription23[[#Totals],[ABR]],Recreo22[[#Totals],[ABR]],Vacaciones21[[#Totals],[ABR]],Salud20[[#Totals],[ABR]],Entretenimiento19[[#Totals],[ABR]],Transporte18[[#Totals],[ABR]],Diario17[[#Totals],[ABR]],Hogar16[[#Totals],[Abril]])</f>
        <v>27950</v>
      </c>
      <c r="H100" s="58">
        <f>SUM(Varios26[[#Totals],[MAY]],Finanzas25[[#Totals],[MAY]],Personal24[[#Totals],[MAY]],DuesAndSubscription23[[#Totals],[MAY]],Recreo22[[#Totals],[MAY]],Vacaciones21[[#Totals],[MAY]],Salud20[[#Totals],[MAY]],Entretenimiento19[[#Totals],[MAY]],Transporte18[[#Totals],[MAY]],Diario17[[#Totals],[MAY]],Hogar16[[#Totals],[Mayo]])</f>
        <v>27650</v>
      </c>
      <c r="I100" s="59">
        <f>SUM(Varios26[[#Totals],[JUN]],Finanzas25[[#Totals],[JUN]],Personal24[[#Totals],[JUN]],DuesAndSubscription23[[#Totals],[JUN]],Recreo22[[#Totals],[JUN]],Vacaciones21[[#Totals],[JUN]],Salud20[[#Totals],[JUN]],Entretenimiento19[[#Totals],[JUN]],Transporte18[[#Totals],[JUN]],Diario17[[#Totals],[JUN]],Hogar16[[#Totals],[Junio]])</f>
        <v>28000</v>
      </c>
      <c r="J100" s="58">
        <f>SUM(Varios26[[#Totals],[JUL]],Finanzas25[[#Totals],[JUL]],Personal24[[#Totals],[JUL]],DuesAndSubscription23[[#Totals],[JUL]],Recreo22[[#Totals],[JUL]],Vacaciones21[[#Totals],[JUL]],Salud20[[#Totals],[JUL]],Entretenimiento19[[#Totals],[JUL]],Transporte18[[#Totals],[JUL]],Diario17[[#Totals],[JUL]],Hogar16[[#Totals],[Julio]])</f>
        <v>18600</v>
      </c>
      <c r="K100" s="59">
        <f>SUM(Varios26[[#Totals],[AGO]],Finanzas25[[#Totals],[AGO]],Personal24[[#Totals],[AGO]],DuesAndSubscription23[[#Totals],[AGO]],Recreo22[[#Totals],[AGO]],Vacaciones21[[#Totals],[AGO]],Salud20[[#Totals],[AGO]],Entretenimiento19[[#Totals],[AGO]],Transporte18[[#Totals],[AGO]],Diario17[[#Totals],[AGO]],Hogar16[[#Totals],[Agosto]])</f>
        <v>28000</v>
      </c>
      <c r="L100" s="58">
        <f>SUM(Varios26[[#Totals],[SEP]],Finanzas25[[#Totals],[SEP]],Personal24[[#Totals],[SEP]],DuesAndSubscription23[[#Totals],[SEP]],Recreo22[[#Totals],[SEP]],Vacaciones21[[#Totals],[SEP]],Salud20[[#Totals],[SEP]],Entretenimiento19[[#Totals],[SEP]],Transporte18[[#Totals],[SEP]],Diario17[[#Totals],[SEP]],Hogar16[[#Totals],[Septiembre]])</f>
        <v>27650</v>
      </c>
      <c r="M100" s="59">
        <f>SUM(Varios26[[#Totals],[OCT]],Finanzas25[[#Totals],[OCT]],Personal24[[#Totals],[OCT]],DuesAndSubscription23[[#Totals],[OCT]],Recreo22[[#Totals],[OCT]],Vacaciones21[[#Totals],[OCT]],Salud20[[#Totals],[OCT]],Entretenimiento19[[#Totals],[OCT]],Transporte18[[#Totals],[OCT]],Diario17[[#Totals],[OCT]],Hogar16[[#Totals],[Octubre]])</f>
        <v>28000</v>
      </c>
      <c r="N100" s="58">
        <f>SUM(Varios26[[#Totals],[NOV]],Finanzas25[[#Totals],[NOV]],Personal24[[#Totals],[NOV]],DuesAndSubscription23[[#Totals],[NOV]],Recreo22[[#Totals],[NOV]],Vacaciones21[[#Totals],[NOV]],Salud20[[#Totals],[NOV]],Entretenimiento19[[#Totals],[NOV]],Transporte18[[#Totals],[NOV]],Diario17[[#Totals],[NOV]],Hogar16[[#Totals],[Noviembre]])</f>
        <v>18600</v>
      </c>
      <c r="O100" s="59">
        <f>SUM(Varios26[[#Totals],[DIC]],Finanzas25[[#Totals],[DIC]],Personal24[[#Totals],[DIC]],DuesAndSubscription23[[#Totals],[DIC]],Recreo22[[#Totals],[DIC]],Vacaciones21[[#Totals],[DIC]],Salud20[[#Totals],[DIC]],Entretenimiento19[[#Totals],[DIC]],Transporte18[[#Totals],[DIC]],Diario17[[#Totals],[DIC]],Hogar16[[#Totals],[Diciembre]])</f>
        <v>27600</v>
      </c>
      <c r="P100" s="58">
        <f>SUM(Varios26[[#Totals],[AÑO]],Finanzas25[[#Totals],[AÑO]],Personal24[[#Totals],[AÑO]],DuesAndSubscription23[[#Totals],[AÑO]],Recreo22[[#Totals],[AÑO]],Vacaciones21[[#Totals],[AÑO]],Salud20[[#Totals],[AÑO]],Entretenimiento19[[#Totals],[AÑO]],Transporte18[[#Totals],[AÑO]],Diario17[[#Totals],[AÑO]],Hogar16[[#Totals],[Año]])</f>
        <v>334300</v>
      </c>
      <c r="Q100" s="60"/>
    </row>
    <row r="101" spans="2:17" ht="13.5" x14ac:dyDescent="0.3">
      <c r="B101" s="2"/>
      <c r="C101" s="80" t="s">
        <v>30</v>
      </c>
      <c r="D101" s="58">
        <f>Ingresos15[[#Totals],[14000]]-D100</f>
        <v>100</v>
      </c>
      <c r="E101" s="59">
        <f>Ingresos15[[#Totals],[Columna2]]-E100</f>
        <v>100</v>
      </c>
      <c r="F101" s="58">
        <f>Ingresos15[[#Totals],[Columna3]]-F100</f>
        <v>400</v>
      </c>
      <c r="G101" s="59">
        <f>Ingresos15[[#Totals],[Abril]]-G100</f>
        <v>50</v>
      </c>
      <c r="H101" s="58">
        <f>Ingresos15[[#Totals],[Mayo]]-H100</f>
        <v>350</v>
      </c>
      <c r="I101" s="59">
        <f>Ingresos15[[#Totals],[Junio]]-I100</f>
        <v>0</v>
      </c>
      <c r="J101" s="58">
        <f>Ingresos15[[#Totals],[Julio]]-J100</f>
        <v>9400</v>
      </c>
      <c r="K101" s="59">
        <f>Ingresos15[[#Totals],[Agosto]]-K100</f>
        <v>0</v>
      </c>
      <c r="L101" s="58">
        <f>Ingresos15[[#Totals],[Septiembre]]-L100</f>
        <v>350</v>
      </c>
      <c r="M101" s="59">
        <f>Ingresos15[[#Totals],[Octubre]]-M100</f>
        <v>0</v>
      </c>
      <c r="N101" s="58">
        <f>Ingresos15[[#Totals],[Noviembre]]-N100</f>
        <v>9400</v>
      </c>
      <c r="O101" s="59">
        <f>Ingresos15[[#Totals],[Diciembre]]-O100</f>
        <v>400</v>
      </c>
      <c r="P101" s="58">
        <f>Ingresos15[[#Totals],[Año]]-P100</f>
        <v>1700</v>
      </c>
      <c r="Q101" s="60"/>
    </row>
    <row r="102" spans="2:17" ht="13.5" x14ac:dyDescent="0.3">
      <c r="B102" s="2"/>
      <c r="C102" s="4"/>
      <c r="D102" s="5"/>
      <c r="E102" s="4"/>
      <c r="F102" s="5"/>
      <c r="G102" s="4"/>
      <c r="H102" s="5"/>
      <c r="I102" s="4"/>
      <c r="J102" s="5"/>
      <c r="K102" s="4"/>
      <c r="L102" s="5"/>
      <c r="M102" s="4"/>
      <c r="N102" s="5"/>
      <c r="O102" s="4"/>
      <c r="P102" s="5"/>
      <c r="Q102" s="4"/>
    </row>
  </sheetData>
  <mergeCells count="12">
    <mergeCell ref="C94:Q94"/>
    <mergeCell ref="C98:Q98"/>
    <mergeCell ref="C73:Q73"/>
    <mergeCell ref="C77:Q77"/>
    <mergeCell ref="C81:Q81"/>
    <mergeCell ref="C85:Q85"/>
    <mergeCell ref="B2:D2"/>
    <mergeCell ref="E2:P2"/>
    <mergeCell ref="C43:Q43"/>
    <mergeCell ref="C51:Q51"/>
    <mergeCell ref="C58:Q58"/>
    <mergeCell ref="C69:Q69"/>
  </mergeCells>
  <conditionalFormatting sqref="D101:P101">
    <cfRule type="cellIs" dxfId="75" priority="1" operator="lessThan">
      <formula>0</formula>
    </cfRule>
  </conditionalFormatting>
  <printOptions horizontalCentered="1"/>
  <pageMargins left="0.4" right="0.4" top="0.4" bottom="0.4" header="0.3" footer="0.3"/>
  <pageSetup paperSize="9" fitToHeight="0" orientation="landscape" r:id="rId1"/>
  <headerFooter differentFirst="1">
    <oddFooter>Page &amp;P of &amp;N</oddFooter>
  </headerFooter>
  <drawing r:id="rId2"/>
  <tableParts count="13">
    <tablePart r:id="rId3"/>
    <tablePart r:id="rId4"/>
    <tablePart r:id="rId5"/>
    <tablePart r:id="rId6"/>
    <tablePart r:id="rId7"/>
    <tablePart r:id="rId8"/>
    <tablePart r:id="rId9"/>
    <tablePart r:id="rId10"/>
    <tablePart r:id="rId11"/>
    <tablePart r:id="rId12"/>
    <tablePart r:id="rId13"/>
    <tablePart r:id="rId14"/>
    <tablePart r:id="rId15"/>
  </tableParts>
  <extLst>
    <ext xmlns:x14="http://schemas.microsoft.com/office/spreadsheetml/2009/9/main" uri="{05C60535-1F16-4fd2-B633-F4F36F0B64E0}">
      <x14:sparklineGroups xmlns:xm="http://schemas.microsoft.com/office/excel/2006/main">
        <x14:sparklineGroup displayEmptyCellsAs="gap" high="1" low="1" xr2:uid="{40062A9C-8620-4B2F-B336-8F3DE475C6B1}">
          <x14:colorSeries theme="4" tint="-0.249977111117893"/>
          <x14:colorNegative theme="5"/>
          <x14:colorAxis rgb="FF000000"/>
          <x14:colorMarkers theme="5" tint="-0.249977111117893"/>
          <x14:colorFirst theme="5" tint="-0.249977111117893"/>
          <x14:colorLast theme="5" tint="-0.249977111117893"/>
          <x14:colorHigh theme="5" tint="-0.249977111117893"/>
          <x14:colorLow theme="5" tint="-0.249977111117893"/>
          <x14:sparklines>
            <x14:sparkline>
              <xm:f>'PRESUPUESTO PERSONAL (Ejemplo)'!D96:O96</xm:f>
              <xm:sqref>Q96</xm:sqref>
            </x14:sparkline>
            <x14:sparkline>
              <xm:f>'PRESUPUESTO PERSONAL (Ejemplo)'!D97:O97</xm:f>
              <xm:sqref>Q97</xm:sqref>
            </x14:sparkline>
          </x14:sparklines>
        </x14:sparklineGroup>
        <x14:sparklineGroup displayEmptyCellsAs="gap" high="1" low="1" xr2:uid="{00C75AF3-4CC3-4924-A5A0-90C8BD6C6B76}">
          <x14:colorSeries theme="4" tint="-0.249977111117893"/>
          <x14:colorNegative theme="5"/>
          <x14:colorAxis rgb="FF000000"/>
          <x14:colorMarkers theme="5" tint="-0.249977111117893"/>
          <x14:colorFirst theme="5" tint="-0.249977111117893"/>
          <x14:colorLast theme="5" tint="-0.249977111117893"/>
          <x14:colorHigh theme="5" tint="-0.249977111117893"/>
          <x14:colorLow theme="5" tint="-0.249977111117893"/>
          <x14:sparklines>
            <x14:sparkline>
              <xm:f>'PRESUPUESTO PERSONAL (Ejemplo)'!D6:O6</xm:f>
              <xm:sqref>Q6</xm:sqref>
            </x14:sparkline>
            <x14:sparkline>
              <xm:f>'PRESUPUESTO PERSONAL (Ejemplo)'!D7:O7</xm:f>
              <xm:sqref>Q7</xm:sqref>
            </x14:sparkline>
            <x14:sparkline>
              <xm:f>'PRESUPUESTO PERSONAL (Ejemplo)'!D8:O8</xm:f>
              <xm:sqref>Q8</xm:sqref>
            </x14:sparkline>
            <x14:sparkline>
              <xm:f>'PRESUPUESTO PERSONAL (Ejemplo)'!D9:O9</xm:f>
              <xm:sqref>Q9</xm:sqref>
            </x14:sparkline>
            <x14:sparkline>
              <xm:f>'PRESUPUESTO PERSONAL (Ejemplo)'!D10:O10</xm:f>
              <xm:sqref>Q10</xm:sqref>
            </x14:sparkline>
          </x14:sparklines>
        </x14:sparklineGroup>
        <x14:sparklineGroup displayEmptyCellsAs="gap" high="1" low="1" xr2:uid="{63464C0F-2922-46F3-826D-1C3A8EA0E36C}">
          <x14:colorSeries theme="0"/>
          <x14:colorNegative theme="5"/>
          <x14:colorAxis rgb="FF000000"/>
          <x14:colorMarkers theme="5" tint="-0.249977111117893"/>
          <x14:colorFirst theme="5" tint="-0.249977111117893"/>
          <x14:colorLast theme="5" tint="-0.249977111117893"/>
          <x14:colorHigh theme="5" tint="-0.249977111117893"/>
          <x14:colorLow theme="5" tint="-0.249977111117893"/>
          <x14:sparklines>
            <x14:sparkline>
              <xm:f>'PRESUPUESTO PERSONAL (Ejemplo)'!D100:O100</xm:f>
              <xm:sqref>Q100</xm:sqref>
            </x14:sparkline>
            <x14:sparkline>
              <xm:f>'PRESUPUESTO PERSONAL (Ejemplo)'!D101:O101</xm:f>
              <xm:sqref>Q101</xm:sqref>
            </x14:sparkline>
          </x14:sparklines>
        </x14:sparklineGroup>
        <x14:sparklineGroup displayEmptyCellsAs="gap" high="1" low="1" xr2:uid="{590BD05E-4E71-43B4-B137-B5EB8E4DA10A}">
          <x14:colorSeries theme="4" tint="-0.249977111117893"/>
          <x14:colorNegative theme="5"/>
          <x14:colorAxis rgb="FF000000"/>
          <x14:colorMarkers theme="5" tint="-0.249977111117893"/>
          <x14:colorFirst theme="5" tint="-0.249977111117893"/>
          <x14:colorLast theme="5" tint="-0.249977111117893"/>
          <x14:colorHigh theme="5" tint="-0.249977111117893"/>
          <x14:colorLow theme="5" tint="-0.249977111117893"/>
          <x14:sparklines>
            <x14:sparkline>
              <xm:f>'PRESUPUESTO PERSONAL (Ejemplo)'!D87:O87</xm:f>
              <xm:sqref>Q87</xm:sqref>
            </x14:sparkline>
            <x14:sparkline>
              <xm:f>'PRESUPUESTO PERSONAL (Ejemplo)'!D88:O88</xm:f>
              <xm:sqref>Q88</xm:sqref>
            </x14:sparkline>
            <x14:sparkline>
              <xm:f>'PRESUPUESTO PERSONAL (Ejemplo)'!D89:O89</xm:f>
              <xm:sqref>Q89</xm:sqref>
            </x14:sparkline>
            <x14:sparkline>
              <xm:f>'PRESUPUESTO PERSONAL (Ejemplo)'!D90:O90</xm:f>
              <xm:sqref>Q90</xm:sqref>
            </x14:sparkline>
            <x14:sparkline>
              <xm:f>'PRESUPUESTO PERSONAL (Ejemplo)'!D91:O91</xm:f>
              <xm:sqref>Q91</xm:sqref>
            </x14:sparkline>
            <x14:sparkline>
              <xm:f>'PRESUPUESTO PERSONAL (Ejemplo)'!D92:O92</xm:f>
              <xm:sqref>Q92</xm:sqref>
            </x14:sparkline>
            <x14:sparkline>
              <xm:f>'PRESUPUESTO PERSONAL (Ejemplo)'!D93:O93</xm:f>
              <xm:sqref>Q93</xm:sqref>
            </x14:sparkline>
          </x14:sparklines>
        </x14:sparklineGroup>
        <x14:sparklineGroup displayEmptyCellsAs="gap" high="1" low="1" xr2:uid="{CB8443CA-4DCB-4CB5-89A0-FA772974034D}">
          <x14:colorSeries theme="4" tint="-0.249977111117893"/>
          <x14:colorNegative theme="5"/>
          <x14:colorAxis rgb="FF000000"/>
          <x14:colorMarkers theme="5" tint="-0.249977111117893"/>
          <x14:colorFirst theme="5" tint="-0.249977111117893"/>
          <x14:colorLast theme="5" tint="-0.249977111117893"/>
          <x14:colorHigh theme="5" tint="-0.249977111117893"/>
          <x14:colorLow theme="5" tint="-0.249977111117893"/>
          <x14:sparklines>
            <x14:sparkline>
              <xm:f>'PRESUPUESTO PERSONAL (Ejemplo)'!D83:O83</xm:f>
              <xm:sqref>Q83</xm:sqref>
            </x14:sparkline>
            <x14:sparkline>
              <xm:f>'PRESUPUESTO PERSONAL (Ejemplo)'!D84:O84</xm:f>
              <xm:sqref>Q84</xm:sqref>
            </x14:sparkline>
          </x14:sparklines>
        </x14:sparklineGroup>
        <x14:sparklineGroup displayEmptyCellsAs="gap" high="1" low="1" xr2:uid="{4338A6A3-8F6F-441B-8E23-CD19D9ACB9C6}">
          <x14:colorSeries theme="4" tint="-0.249977111117893"/>
          <x14:colorNegative theme="5"/>
          <x14:colorAxis rgb="FF000000"/>
          <x14:colorMarkers theme="5" tint="-0.249977111117893"/>
          <x14:colorFirst theme="5" tint="-0.249977111117893"/>
          <x14:colorLast theme="5" tint="-0.249977111117893"/>
          <x14:colorHigh theme="5" tint="-0.249977111117893"/>
          <x14:colorLow theme="5" tint="-0.249977111117893"/>
          <x14:sparklines>
            <x14:sparkline>
              <xm:f>'PRESUPUESTO PERSONAL (Ejemplo)'!D79:O79</xm:f>
              <xm:sqref>Q79</xm:sqref>
            </x14:sparkline>
            <x14:sparkline>
              <xm:f>'PRESUPUESTO PERSONAL (Ejemplo)'!D80:O80</xm:f>
              <xm:sqref>Q80</xm:sqref>
            </x14:sparkline>
          </x14:sparklines>
        </x14:sparklineGroup>
        <x14:sparklineGroup displayEmptyCellsAs="gap" high="1" low="1" xr2:uid="{EB2C5A4B-5227-4AFC-9178-EAE66066F5BC}">
          <x14:colorSeries theme="4" tint="-0.249977111117893"/>
          <x14:colorNegative theme="5"/>
          <x14:colorAxis rgb="FF000000"/>
          <x14:colorMarkers theme="5" tint="-0.249977111117893"/>
          <x14:colorFirst theme="5" tint="-0.249977111117893"/>
          <x14:colorLast theme="5" tint="-0.249977111117893"/>
          <x14:colorHigh theme="5" tint="-0.249977111117893"/>
          <x14:colorLow theme="5" tint="-0.249977111117893"/>
          <x14:sparklines>
            <x14:sparkline>
              <xm:f>'PRESUPUESTO PERSONAL (Ejemplo)'!D75:O75</xm:f>
              <xm:sqref>Q75</xm:sqref>
            </x14:sparkline>
            <x14:sparkline>
              <xm:f>'PRESUPUESTO PERSONAL (Ejemplo)'!D76:O76</xm:f>
              <xm:sqref>Q76</xm:sqref>
            </x14:sparkline>
          </x14:sparklines>
        </x14:sparklineGroup>
        <x14:sparklineGroup displayEmptyCellsAs="gap" high="1" low="1" xr2:uid="{B576C6D4-FE90-424F-9116-E35B034D2763}">
          <x14:colorSeries theme="4" tint="-0.249977111117893"/>
          <x14:colorNegative theme="5"/>
          <x14:colorAxis rgb="FF000000"/>
          <x14:colorMarkers theme="5" tint="-0.249977111117893"/>
          <x14:colorFirst theme="5" tint="-0.249977111117893"/>
          <x14:colorLast theme="5" tint="-0.249977111117893"/>
          <x14:colorHigh theme="5" tint="-0.249977111117893"/>
          <x14:colorLow theme="5" tint="-0.249977111117893"/>
          <x14:sparklines>
            <x14:sparkline>
              <xm:f>'PRESUPUESTO PERSONAL (Ejemplo)'!D71:O71</xm:f>
              <xm:sqref>Q71</xm:sqref>
            </x14:sparkline>
            <x14:sparkline>
              <xm:f>'PRESUPUESTO PERSONAL (Ejemplo)'!D72:O72</xm:f>
              <xm:sqref>Q72</xm:sqref>
            </x14:sparkline>
          </x14:sparklines>
        </x14:sparklineGroup>
        <x14:sparklineGroup displayEmptyCellsAs="gap" high="1" low="1" xr2:uid="{34E4073F-48DD-412D-A785-45AE32B1FAD2}">
          <x14:colorSeries theme="4" tint="-0.249977111117893"/>
          <x14:colorNegative theme="5"/>
          <x14:colorAxis rgb="FF000000"/>
          <x14:colorMarkers theme="5" tint="-0.249977111117893"/>
          <x14:colorFirst theme="5" tint="-0.249977111117893"/>
          <x14:colorLast theme="5" tint="-0.249977111117893"/>
          <x14:colorHigh theme="5" tint="-0.249977111117893"/>
          <x14:colorLow theme="5" tint="-0.249977111117893"/>
          <x14:sparklines>
            <x14:sparkline>
              <xm:f>'PRESUPUESTO PERSONAL (Ejemplo)'!D60:O60</xm:f>
              <xm:sqref>Q60</xm:sqref>
            </x14:sparkline>
            <x14:sparkline>
              <xm:f>'PRESUPUESTO PERSONAL (Ejemplo)'!D61:O61</xm:f>
              <xm:sqref>Q61</xm:sqref>
            </x14:sparkline>
            <x14:sparkline>
              <xm:f>'PRESUPUESTO PERSONAL (Ejemplo)'!D62:O62</xm:f>
              <xm:sqref>Q62</xm:sqref>
            </x14:sparkline>
            <x14:sparkline>
              <xm:f>'PRESUPUESTO PERSONAL (Ejemplo)'!D63:O63</xm:f>
              <xm:sqref>Q63</xm:sqref>
            </x14:sparkline>
            <x14:sparkline>
              <xm:f>'PRESUPUESTO PERSONAL (Ejemplo)'!D64:O64</xm:f>
              <xm:sqref>Q64</xm:sqref>
            </x14:sparkline>
            <x14:sparkline>
              <xm:f>'PRESUPUESTO PERSONAL (Ejemplo)'!D65:O65</xm:f>
              <xm:sqref>Q65</xm:sqref>
            </x14:sparkline>
            <x14:sparkline>
              <xm:f>'PRESUPUESTO PERSONAL (Ejemplo)'!D66:O66</xm:f>
              <xm:sqref>Q66</xm:sqref>
            </x14:sparkline>
            <x14:sparkline>
              <xm:f>'PRESUPUESTO PERSONAL (Ejemplo)'!D67:O67</xm:f>
              <xm:sqref>Q67</xm:sqref>
            </x14:sparkline>
            <x14:sparkline>
              <xm:f>'PRESUPUESTO PERSONAL (Ejemplo)'!D68:O68</xm:f>
              <xm:sqref>Q68</xm:sqref>
            </x14:sparkline>
          </x14:sparklines>
        </x14:sparklineGroup>
        <x14:sparklineGroup displayEmptyCellsAs="gap" high="1" low="1" xr2:uid="{68B01DBA-0A89-4D18-BF09-2189EE198016}">
          <x14:colorSeries theme="4" tint="-0.249977111117893"/>
          <x14:colorNegative theme="5"/>
          <x14:colorAxis rgb="FF000000"/>
          <x14:colorMarkers theme="5" tint="-0.249977111117893"/>
          <x14:colorFirst theme="5" tint="-0.249977111117893"/>
          <x14:colorLast theme="5" tint="-0.249977111117893"/>
          <x14:colorHigh theme="5" tint="-0.249977111117893"/>
          <x14:colorLow theme="5" tint="-0.249977111117893"/>
          <x14:sparklines>
            <x14:sparkline>
              <xm:f>'PRESUPUESTO PERSONAL (Ejemplo)'!D53:O53</xm:f>
              <xm:sqref>Q53</xm:sqref>
            </x14:sparkline>
            <x14:sparkline>
              <xm:f>'PRESUPUESTO PERSONAL (Ejemplo)'!D54:O54</xm:f>
              <xm:sqref>Q54</xm:sqref>
            </x14:sparkline>
            <x14:sparkline>
              <xm:f>'PRESUPUESTO PERSONAL (Ejemplo)'!D55:O55</xm:f>
              <xm:sqref>Q55</xm:sqref>
            </x14:sparkline>
            <x14:sparkline>
              <xm:f>'PRESUPUESTO PERSONAL (Ejemplo)'!D56:O56</xm:f>
              <xm:sqref>Q56</xm:sqref>
            </x14:sparkline>
            <x14:sparkline>
              <xm:f>'PRESUPUESTO PERSONAL (Ejemplo)'!D57:O57</xm:f>
              <xm:sqref>Q57</xm:sqref>
            </x14:sparkline>
          </x14:sparklines>
        </x14:sparklineGroup>
        <x14:sparklineGroup displayEmptyCellsAs="gap" high="1" low="1" xr2:uid="{0C2AD039-16CC-4632-BB82-9F96448C110E}">
          <x14:colorSeries theme="4" tint="-0.249977111117893"/>
          <x14:colorNegative theme="5"/>
          <x14:colorAxis rgb="FF000000"/>
          <x14:colorMarkers theme="5" tint="-0.249977111117893"/>
          <x14:colorFirst theme="5" tint="-0.249977111117893"/>
          <x14:colorLast theme="5" tint="-0.249977111117893"/>
          <x14:colorHigh theme="5" tint="-0.249977111117893"/>
          <x14:colorLow theme="5" tint="-0.249977111117893"/>
          <x14:sparklines>
            <x14:sparkline>
              <xm:f>'PRESUPUESTO PERSONAL (Ejemplo)'!D45:O45</xm:f>
              <xm:sqref>Q45</xm:sqref>
            </x14:sparkline>
            <x14:sparkline>
              <xm:f>'PRESUPUESTO PERSONAL (Ejemplo)'!D46:O46</xm:f>
              <xm:sqref>Q46</xm:sqref>
            </x14:sparkline>
            <x14:sparkline>
              <xm:f>'PRESUPUESTO PERSONAL (Ejemplo)'!D47:O47</xm:f>
              <xm:sqref>Q47</xm:sqref>
            </x14:sparkline>
            <x14:sparkline>
              <xm:f>'PRESUPUESTO PERSONAL (Ejemplo)'!D48:O48</xm:f>
              <xm:sqref>Q48</xm:sqref>
            </x14:sparkline>
            <x14:sparkline>
              <xm:f>'PRESUPUESTO PERSONAL (Ejemplo)'!D49:O49</xm:f>
              <xm:sqref>Q49</xm:sqref>
            </x14:sparkline>
            <x14:sparkline>
              <xm:f>'PRESUPUESTO PERSONAL (Ejemplo)'!D50:O50</xm:f>
              <xm:sqref>Q50</xm:sqref>
            </x14:sparkline>
          </x14:sparklines>
        </x14:sparklineGroup>
        <x14:sparklineGroup displayEmptyCellsAs="gap" high="1" low="1" xr2:uid="{B472D0C4-599D-4EBA-929F-74A02FEEDA18}">
          <x14:colorSeries theme="4" tint="-0.249977111117893"/>
          <x14:colorNegative theme="5"/>
          <x14:colorAxis rgb="FF000000"/>
          <x14:colorMarkers theme="5" tint="-0.249977111117893"/>
          <x14:colorFirst theme="5" tint="-0.249977111117893"/>
          <x14:colorLast theme="5" tint="-0.249977111117893"/>
          <x14:colorHigh theme="5" tint="-0.249977111117893"/>
          <x14:colorLow theme="5" tint="-0.249977111117893"/>
          <x14:sparklines>
            <x14:sparkline>
              <xm:f>'PRESUPUESTO PERSONAL (Ejemplo)'!D35:O35</xm:f>
              <xm:sqref>Q35</xm:sqref>
            </x14:sparkline>
            <x14:sparkline>
              <xm:f>'PRESUPUESTO PERSONAL (Ejemplo)'!D36:O36</xm:f>
              <xm:sqref>Q36</xm:sqref>
            </x14:sparkline>
            <x14:sparkline>
              <xm:f>'PRESUPUESTO PERSONAL (Ejemplo)'!D37:O37</xm:f>
              <xm:sqref>Q37</xm:sqref>
            </x14:sparkline>
            <x14:sparkline>
              <xm:f>'PRESUPUESTO PERSONAL (Ejemplo)'!D38:O38</xm:f>
              <xm:sqref>Q38</xm:sqref>
            </x14:sparkline>
            <x14:sparkline>
              <xm:f>'PRESUPUESTO PERSONAL (Ejemplo)'!D39:O39</xm:f>
              <xm:sqref>Q39</xm:sqref>
            </x14:sparkline>
            <x14:sparkline>
              <xm:f>'PRESUPUESTO PERSONAL (Ejemplo)'!D40:O40</xm:f>
              <xm:sqref>Q40</xm:sqref>
            </x14:sparkline>
            <x14:sparkline>
              <xm:f>'PRESUPUESTO PERSONAL (Ejemplo)'!D41:O41</xm:f>
              <xm:sqref>Q41</xm:sqref>
            </x14:sparkline>
            <x14:sparkline>
              <xm:f>'PRESUPUESTO PERSONAL (Ejemplo)'!D42:O42</xm:f>
              <xm:sqref>Q42</xm:sqref>
            </x14:sparkline>
          </x14:sparklines>
        </x14:sparklineGroup>
        <x14:sparklineGroup displayEmptyCellsAs="gap" high="1" low="1" xr2:uid="{8689815E-0B59-4B8C-8434-E8A3DC9E9ED3}">
          <x14:colorSeries theme="4" tint="-0.249977111117893"/>
          <x14:colorNegative theme="5"/>
          <x14:colorAxis rgb="FF000000"/>
          <x14:colorMarkers theme="5" tint="-0.249977111117893"/>
          <x14:colorFirst theme="5" tint="-0.249977111117893"/>
          <x14:colorLast theme="5" tint="-0.249977111117893"/>
          <x14:colorHigh theme="5" tint="-0.249977111117893"/>
          <x14:colorLow theme="5" tint="-0.249977111117893"/>
          <x14:sparklines>
            <x14:sparkline>
              <xm:f>'PRESUPUESTO PERSONAL (Ejemplo)'!D14:O14</xm:f>
              <xm:sqref>Q14</xm:sqref>
            </x14:sparkline>
            <x14:sparkline>
              <xm:f>'PRESUPUESTO PERSONAL (Ejemplo)'!D15:O15</xm:f>
              <xm:sqref>Q15</xm:sqref>
            </x14:sparkline>
            <x14:sparkline>
              <xm:f>'PRESUPUESTO PERSONAL (Ejemplo)'!D16:O16</xm:f>
              <xm:sqref>Q16</xm:sqref>
            </x14:sparkline>
            <x14:sparkline>
              <xm:f>'PRESUPUESTO PERSONAL (Ejemplo)'!D17:O17</xm:f>
              <xm:sqref>Q17</xm:sqref>
            </x14:sparkline>
            <x14:sparkline>
              <xm:f>'PRESUPUESTO PERSONAL (Ejemplo)'!D18:O18</xm:f>
              <xm:sqref>Q18</xm:sqref>
            </x14:sparkline>
            <x14:sparkline>
              <xm:f>'PRESUPUESTO PERSONAL (Ejemplo)'!D19:O19</xm:f>
              <xm:sqref>Q19</xm:sqref>
            </x14:sparkline>
            <x14:sparkline>
              <xm:f>'PRESUPUESTO PERSONAL (Ejemplo)'!D20:O20</xm:f>
              <xm:sqref>Q20</xm:sqref>
            </x14:sparkline>
            <x14:sparkline>
              <xm:f>'PRESUPUESTO PERSONAL (Ejemplo)'!D21:O21</xm:f>
              <xm:sqref>Q21</xm:sqref>
            </x14:sparkline>
            <x14:sparkline>
              <xm:f>'PRESUPUESTO PERSONAL (Ejemplo)'!D22:O22</xm:f>
              <xm:sqref>Q22</xm:sqref>
            </x14:sparkline>
            <x14:sparkline>
              <xm:f>'PRESUPUESTO PERSONAL (Ejemplo)'!D23:O23</xm:f>
              <xm:sqref>Q23</xm:sqref>
            </x14:sparkline>
            <x14:sparkline>
              <xm:f>'PRESUPUESTO PERSONAL (Ejemplo)'!D24:O24</xm:f>
              <xm:sqref>Q24</xm:sqref>
            </x14:sparkline>
            <x14:sparkline>
              <xm:f>'PRESUPUESTO PERSONAL (Ejemplo)'!D25:O25</xm:f>
              <xm:sqref>Q25</xm:sqref>
            </x14:sparkline>
            <x14:sparkline>
              <xm:f>'PRESUPUESTO PERSONAL (Ejemplo)'!D26:O26</xm:f>
              <xm:sqref>Q26</xm:sqref>
            </x14:sparkline>
            <x14:sparkline>
              <xm:f>'PRESUPUESTO PERSONAL (Ejemplo)'!D27:O27</xm:f>
              <xm:sqref>Q27</xm:sqref>
            </x14:sparkline>
            <x14:sparkline>
              <xm:f>'PRESUPUESTO PERSONAL (Ejemplo)'!D28:O28</xm:f>
              <xm:sqref>Q28</xm:sqref>
            </x14:sparkline>
            <x14:sparkline>
              <xm:f>'PRESUPUESTO PERSONAL (Ejemplo)'!D29:O29</xm:f>
              <xm:sqref>Q29</xm:sqref>
            </x14:sparkline>
            <x14:sparkline>
              <xm:f>'PRESUPUESTO PERSONAL (Ejemplo)'!D30:O30</xm:f>
              <xm:sqref>Q30</xm:sqref>
            </x14:sparkline>
            <x14:sparkline>
              <xm:f>'PRESUPUESTO PERSONAL (Ejemplo)'!D31:O31</xm:f>
              <xm:sqref>Q31</xm:sqref>
            </x14:sparkline>
            <x14:sparkline>
              <xm:f>'PRESUPUESTO PERSONAL (Ejemplo)'!D32:O32</xm:f>
              <xm:sqref>Q32</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FDC9C-27FB-473C-BF5E-8364C1AC5E5D}">
  <dimension ref="A3:H17"/>
  <sheetViews>
    <sheetView topLeftCell="A6" workbookViewId="0">
      <selection activeCell="A6" sqref="A6"/>
    </sheetView>
  </sheetViews>
  <sheetFormatPr defaultRowHeight="13.5" x14ac:dyDescent="0.3"/>
  <sheetData>
    <row r="3" spans="1:8" x14ac:dyDescent="0.3">
      <c r="A3" s="83" t="s">
        <v>120</v>
      </c>
    </row>
    <row r="4" spans="1:8" x14ac:dyDescent="0.3">
      <c r="A4" s="83" t="s">
        <v>121</v>
      </c>
    </row>
    <row r="5" spans="1:8" ht="23.5" thickBot="1" x14ac:dyDescent="0.35">
      <c r="A5" s="84" t="s">
        <v>122</v>
      </c>
    </row>
    <row r="6" spans="1:8" ht="39.5" thickBot="1" x14ac:dyDescent="0.35">
      <c r="A6" s="85" t="s">
        <v>111</v>
      </c>
      <c r="B6" s="85" t="s">
        <v>123</v>
      </c>
      <c r="C6" s="85" t="s">
        <v>124</v>
      </c>
      <c r="D6" s="85" t="s">
        <v>125</v>
      </c>
      <c r="E6" s="85" t="s">
        <v>126</v>
      </c>
      <c r="F6" s="85" t="s">
        <v>127</v>
      </c>
      <c r="G6" s="85" t="s">
        <v>128</v>
      </c>
      <c r="H6" s="85" t="s">
        <v>129</v>
      </c>
    </row>
    <row r="7" spans="1:8" ht="39.5" thickBot="1" x14ac:dyDescent="0.35">
      <c r="A7" s="85" t="s">
        <v>130</v>
      </c>
      <c r="B7" s="86">
        <v>4500</v>
      </c>
      <c r="C7" s="86">
        <v>4800</v>
      </c>
      <c r="D7" s="86">
        <v>4600</v>
      </c>
      <c r="E7" s="86">
        <v>4700</v>
      </c>
      <c r="F7" s="86">
        <v>4550</v>
      </c>
      <c r="G7" s="86">
        <v>4650</v>
      </c>
      <c r="H7" s="87">
        <v>5000</v>
      </c>
    </row>
    <row r="8" spans="1:8" ht="26.5" thickBot="1" x14ac:dyDescent="0.35">
      <c r="A8" s="85" t="s">
        <v>131</v>
      </c>
      <c r="B8" s="86">
        <v>1200</v>
      </c>
      <c r="C8" s="86">
        <v>800</v>
      </c>
      <c r="D8" s="86">
        <v>1500</v>
      </c>
      <c r="E8" s="86">
        <v>900</v>
      </c>
      <c r="F8" s="86">
        <v>1350</v>
      </c>
      <c r="G8" s="86">
        <v>1100</v>
      </c>
      <c r="H8" s="87">
        <v>2000</v>
      </c>
    </row>
    <row r="9" spans="1:8" ht="39.5" thickBot="1" x14ac:dyDescent="0.35">
      <c r="A9" s="85" t="s">
        <v>132</v>
      </c>
      <c r="B9" s="86">
        <v>1800</v>
      </c>
      <c r="C9" s="86">
        <v>2100</v>
      </c>
      <c r="D9" s="86">
        <v>1600</v>
      </c>
      <c r="E9" s="86">
        <v>1950</v>
      </c>
      <c r="F9" s="86">
        <v>2000</v>
      </c>
      <c r="G9" s="86">
        <v>1750</v>
      </c>
      <c r="H9" s="87">
        <v>2500</v>
      </c>
    </row>
    <row r="10" spans="1:8" ht="39.5" thickBot="1" x14ac:dyDescent="0.35">
      <c r="A10" s="85" t="s">
        <v>133</v>
      </c>
      <c r="B10" s="86">
        <v>500</v>
      </c>
      <c r="C10" s="86">
        <v>1100</v>
      </c>
      <c r="D10" s="86">
        <v>400</v>
      </c>
      <c r="E10" s="86">
        <v>300</v>
      </c>
      <c r="F10" s="86">
        <v>800</v>
      </c>
      <c r="G10" s="86">
        <v>700</v>
      </c>
      <c r="H10" s="87">
        <v>1500</v>
      </c>
    </row>
    <row r="11" spans="1:8" ht="26.5" thickBot="1" x14ac:dyDescent="0.35">
      <c r="A11" s="85" t="s">
        <v>134</v>
      </c>
      <c r="B11" s="86">
        <v>1000</v>
      </c>
      <c r="C11" s="86">
        <v>0</v>
      </c>
      <c r="D11" s="86">
        <v>500</v>
      </c>
      <c r="E11" s="86">
        <v>1500</v>
      </c>
      <c r="F11" s="86">
        <v>0</v>
      </c>
      <c r="G11" s="86">
        <v>800</v>
      </c>
      <c r="H11" s="87">
        <v>2000</v>
      </c>
    </row>
    <row r="12" spans="1:8" ht="39.5" thickBot="1" x14ac:dyDescent="0.35">
      <c r="A12" s="85" t="s">
        <v>135</v>
      </c>
      <c r="B12" s="86">
        <v>300</v>
      </c>
      <c r="C12" s="86">
        <v>500</v>
      </c>
      <c r="D12" s="86">
        <v>400</v>
      </c>
      <c r="E12" s="86">
        <v>450</v>
      </c>
      <c r="F12" s="86">
        <v>350</v>
      </c>
      <c r="G12" s="86">
        <v>500</v>
      </c>
      <c r="H12" s="87">
        <v>1000</v>
      </c>
    </row>
    <row r="13" spans="1:8" ht="26.5" thickBot="1" x14ac:dyDescent="0.35">
      <c r="A13" s="85" t="s">
        <v>119</v>
      </c>
      <c r="B13" s="87">
        <v>9300</v>
      </c>
      <c r="C13" s="87">
        <v>9300</v>
      </c>
      <c r="D13" s="87">
        <v>9000</v>
      </c>
      <c r="E13" s="87">
        <v>9800</v>
      </c>
      <c r="F13" s="87">
        <v>9050</v>
      </c>
      <c r="G13" s="87">
        <v>9500</v>
      </c>
      <c r="H13" s="85" t="s">
        <v>136</v>
      </c>
    </row>
    <row r="15" spans="1:8" x14ac:dyDescent="0.3">
      <c r="A15" s="88" t="s">
        <v>137</v>
      </c>
    </row>
    <row r="16" spans="1:8" x14ac:dyDescent="0.3">
      <c r="A16" s="89" t="s">
        <v>138</v>
      </c>
    </row>
    <row r="17" spans="1:1" x14ac:dyDescent="0.3">
      <c r="A17" s="83" t="s">
        <v>139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58007-60B7-4F91-804A-A820EDC7049A}">
  <dimension ref="A2:C15"/>
  <sheetViews>
    <sheetView workbookViewId="0">
      <selection activeCell="B15" sqref="B15"/>
    </sheetView>
  </sheetViews>
  <sheetFormatPr defaultColWidth="11.07421875" defaultRowHeight="13.5" x14ac:dyDescent="0.3"/>
  <cols>
    <col min="1" max="1" width="11.53515625" bestFit="1" customWidth="1"/>
    <col min="2" max="2" width="11.3828125" bestFit="1" customWidth="1"/>
  </cols>
  <sheetData>
    <row r="2" spans="1:3" x14ac:dyDescent="0.3">
      <c r="A2" t="s">
        <v>94</v>
      </c>
    </row>
    <row r="3" spans="1:3" x14ac:dyDescent="0.3">
      <c r="A3" t="s">
        <v>95</v>
      </c>
      <c r="B3" s="13">
        <v>-35000</v>
      </c>
    </row>
    <row r="4" spans="1:3" x14ac:dyDescent="0.3">
      <c r="A4" t="s">
        <v>96</v>
      </c>
      <c r="B4" s="13">
        <v>-3194</v>
      </c>
      <c r="C4" s="15">
        <v>44922</v>
      </c>
    </row>
    <row r="5" spans="1:3" x14ac:dyDescent="0.3">
      <c r="A5" t="s">
        <v>100</v>
      </c>
      <c r="B5" s="13">
        <v>-2300</v>
      </c>
      <c r="C5" s="15">
        <v>44902</v>
      </c>
    </row>
    <row r="6" spans="1:3" x14ac:dyDescent="0.3">
      <c r="A6" t="s">
        <v>97</v>
      </c>
      <c r="B6" s="13">
        <v>-6100</v>
      </c>
      <c r="C6" s="15">
        <v>44893</v>
      </c>
    </row>
    <row r="12" spans="1:3" x14ac:dyDescent="0.3">
      <c r="A12" t="s">
        <v>98</v>
      </c>
      <c r="B12" s="13">
        <v>23000</v>
      </c>
    </row>
    <row r="13" spans="1:3" x14ac:dyDescent="0.3">
      <c r="A13" t="s">
        <v>99</v>
      </c>
      <c r="B13" s="13">
        <v>1000</v>
      </c>
    </row>
    <row r="14" spans="1:3" x14ac:dyDescent="0.3">
      <c r="B14" s="13"/>
    </row>
    <row r="15" spans="1:3" x14ac:dyDescent="0.3">
      <c r="B15" s="14">
        <f>SUM(B3:B14)</f>
        <v>-22594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Charts</vt:lpstr>
      </vt:variant>
      <vt:variant>
        <vt:i4>1</vt:i4>
      </vt:variant>
    </vt:vector>
  </HeadingPairs>
  <TitlesOfParts>
    <vt:vector size="5" baseType="lpstr">
      <vt:lpstr>PRESUPUESTO PERSONAL Plantilla</vt:lpstr>
      <vt:lpstr>PRESUPUESTO PERSONAL (Ejemplo)</vt:lpstr>
      <vt:lpstr>Sheet2</vt:lpstr>
      <vt:lpstr>DEUDAS</vt:lpstr>
      <vt:lpstr>Gráfico1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IVAN GUTIERREZ</dc:creator>
  <cp:lastModifiedBy>Reyes, Antonio Aldahir</cp:lastModifiedBy>
  <dcterms:created xsi:type="dcterms:W3CDTF">2018-06-21T11:23:21Z</dcterms:created>
  <dcterms:modified xsi:type="dcterms:W3CDTF">2025-11-04T17:56:24Z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cbb0e6e-32dc-4f46-beac-83474981f33d_Enabled">
    <vt:lpwstr>true</vt:lpwstr>
  </property>
  <property fmtid="{D5CDD505-2E9C-101B-9397-08002B2CF9AE}" pid="3" name="MSIP_Label_6cbb0e6e-32dc-4f46-beac-83474981f33d_SetDate">
    <vt:lpwstr>2025-11-02T20:19:24Z</vt:lpwstr>
  </property>
  <property fmtid="{D5CDD505-2E9C-101B-9397-08002B2CF9AE}" pid="4" name="MSIP_Label_6cbb0e6e-32dc-4f46-beac-83474981f33d_Method">
    <vt:lpwstr>Privileged</vt:lpwstr>
  </property>
  <property fmtid="{D5CDD505-2E9C-101B-9397-08002B2CF9AE}" pid="5" name="MSIP_Label_6cbb0e6e-32dc-4f46-beac-83474981f33d_Name">
    <vt:lpwstr>Public</vt:lpwstr>
  </property>
  <property fmtid="{D5CDD505-2E9C-101B-9397-08002B2CF9AE}" pid="6" name="MSIP_Label_6cbb0e6e-32dc-4f46-beac-83474981f33d_SiteId">
    <vt:lpwstr>36839a65-7f3f-4bac-9ea4-f571f10a9a03</vt:lpwstr>
  </property>
  <property fmtid="{D5CDD505-2E9C-101B-9397-08002B2CF9AE}" pid="7" name="MSIP_Label_6cbb0e6e-32dc-4f46-beac-83474981f33d_ActionId">
    <vt:lpwstr>691d1023-d4cb-402e-8dab-17de1e1e62f3</vt:lpwstr>
  </property>
  <property fmtid="{D5CDD505-2E9C-101B-9397-08002B2CF9AE}" pid="8" name="MSIP_Label_6cbb0e6e-32dc-4f46-beac-83474981f33d_ContentBits">
    <vt:lpwstr>0</vt:lpwstr>
  </property>
  <property fmtid="{D5CDD505-2E9C-101B-9397-08002B2CF9AE}" pid="9" name="MSIP_Label_6cbb0e6e-32dc-4f46-beac-83474981f33d_Tag">
    <vt:lpwstr>10, 0, 1, 1</vt:lpwstr>
  </property>
</Properties>
</file>